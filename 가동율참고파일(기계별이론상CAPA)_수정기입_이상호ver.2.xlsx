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9.AI_Columbus_2025\2.AI\01.Production_Dashboard - Claude\"/>
    </mc:Choice>
  </mc:AlternateContent>
  <xr:revisionPtr revIDLastSave="0" documentId="13_ncr:1_{00A1DB44-D50E-4196-A1C5-EE8741254C8E}" xr6:coauthVersionLast="47" xr6:coauthVersionMax="47" xr10:uidLastSave="{00000000-0000-0000-0000-000000000000}"/>
  <bookViews>
    <workbookView xWindow="4125" yWindow="510" windowWidth="34350" windowHeight="19830" activeTab="1" xr2:uid="{00000000-000D-0000-FFFF-FFFF00000000}"/>
  </bookViews>
  <sheets>
    <sheet name="7월" sheetId="1" r:id="rId1"/>
    <sheet name="7월_수정기입" sheetId="2" r:id="rId2"/>
    <sheet name="워크센터" sheetId="3" state="hidden" r:id="rId3"/>
  </sheets>
  <definedNames>
    <definedName name="_xlnm._FilterDatabase" localSheetId="0" hidden="1">'7월'!$A$1:$Q$34314</definedName>
    <definedName name="_xlnm._FilterDatabase" localSheetId="1" hidden="1">'7월_수정기입'!$A$1:$W$217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3" i="2"/>
  <c r="H216" i="2"/>
  <c r="H134" i="2"/>
  <c r="H133" i="2"/>
  <c r="H31" i="2"/>
  <c r="E48" i="2"/>
  <c r="E154" i="2"/>
  <c r="E217" i="2"/>
  <c r="H30" i="2" l="1"/>
  <c r="H29" i="2"/>
  <c r="E29" i="2" s="1"/>
  <c r="H28" i="2"/>
  <c r="E28" i="2" s="1"/>
  <c r="H27" i="2"/>
  <c r="E27" i="2" s="1"/>
  <c r="H26" i="2"/>
  <c r="E26" i="2" s="1"/>
  <c r="H25" i="2"/>
  <c r="E25" i="2" s="1"/>
  <c r="H132" i="2"/>
  <c r="H131" i="2"/>
  <c r="H130" i="2"/>
  <c r="E130" i="2" s="1"/>
  <c r="H129" i="2"/>
  <c r="E129" i="2" s="1"/>
  <c r="H128" i="2"/>
  <c r="H127" i="2"/>
  <c r="H126" i="2"/>
  <c r="H125" i="2"/>
  <c r="H124" i="2"/>
  <c r="H123" i="2"/>
  <c r="H122" i="2"/>
  <c r="H121" i="2"/>
  <c r="H120" i="2"/>
  <c r="H119" i="2"/>
  <c r="H118" i="2"/>
  <c r="E216" i="2"/>
  <c r="E214" i="2"/>
  <c r="E213" i="2"/>
  <c r="E212" i="2"/>
  <c r="E211" i="2"/>
  <c r="E210" i="2"/>
  <c r="E209" i="2"/>
  <c r="E208" i="2"/>
  <c r="E207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H215" i="2"/>
  <c r="H206" i="2"/>
  <c r="E206" i="2" s="1"/>
  <c r="H205" i="2"/>
  <c r="E205" i="2" s="1"/>
  <c r="H204" i="2"/>
  <c r="E204" i="2" s="1"/>
  <c r="H203" i="2"/>
  <c r="E203" i="2" s="1"/>
  <c r="H202" i="2"/>
  <c r="H201" i="2"/>
  <c r="H200" i="2"/>
  <c r="H199" i="2"/>
  <c r="H172" i="2"/>
  <c r="H171" i="2"/>
  <c r="E171" i="2" s="1"/>
  <c r="H170" i="2"/>
  <c r="H169" i="2"/>
  <c r="H168" i="2"/>
  <c r="H167" i="2"/>
  <c r="E24" i="2"/>
  <c r="E127" i="2" l="1"/>
  <c r="E199" i="2"/>
  <c r="E172" i="2"/>
  <c r="E126" i="2"/>
  <c r="E125" i="2"/>
  <c r="E124" i="2"/>
  <c r="E128" i="2"/>
  <c r="E118" i="2"/>
  <c r="E119" i="2"/>
  <c r="E167" i="2"/>
  <c r="E120" i="2"/>
  <c r="E200" i="2"/>
  <c r="E215" i="2"/>
  <c r="E121" i="2"/>
  <c r="E122" i="2"/>
  <c r="E170" i="2"/>
  <c r="E168" i="2"/>
  <c r="E169" i="2"/>
  <c r="E123" i="2"/>
  <c r="E202" i="2"/>
  <c r="E201" i="2"/>
  <c r="J3" i="2"/>
  <c r="R3" i="2"/>
  <c r="V3" i="2" s="1"/>
  <c r="L3" i="2"/>
  <c r="O3" i="2" l="1"/>
  <c r="N3" i="2"/>
  <c r="S3" i="2" l="1"/>
  <c r="T3" i="2"/>
  <c r="U3" i="2" l="1"/>
  <c r="W3" i="2" s="1"/>
</calcChain>
</file>

<file path=xl/sharedStrings.xml><?xml version="1.0" encoding="utf-8"?>
<sst xmlns="http://schemas.openxmlformats.org/spreadsheetml/2006/main" count="2078" uniqueCount="306">
  <si>
    <t>공장</t>
  </si>
  <si>
    <t>공정코드</t>
  </si>
  <si>
    <t>기계코드</t>
  </si>
  <si>
    <t>A관(1공장)</t>
  </si>
  <si>
    <t>[20] 분리</t>
  </si>
  <si>
    <t>분리3호기</t>
  </si>
  <si>
    <t>C관(2공장)</t>
  </si>
  <si>
    <t>[45] 하이드레이션/전면검사</t>
  </si>
  <si>
    <t>워터배스2-12호기</t>
  </si>
  <si>
    <t>[55] 접착/ 멸균</t>
  </si>
  <si>
    <t>검사42호기</t>
  </si>
  <si>
    <t>워터배스1-3호기</t>
  </si>
  <si>
    <t>[80] 누수/규격검사</t>
  </si>
  <si>
    <t>누수/규격검사(2공장)</t>
  </si>
  <si>
    <t>워터배스2-2호기</t>
  </si>
  <si>
    <t>검사8호기</t>
  </si>
  <si>
    <t>[10] 사출조립</t>
  </si>
  <si>
    <t>조립48호기</t>
  </si>
  <si>
    <t>분리4호기</t>
  </si>
  <si>
    <t>검사14호기</t>
  </si>
  <si>
    <t>검사47호기</t>
  </si>
  <si>
    <t>검사41호기</t>
  </si>
  <si>
    <t>검사43호기</t>
  </si>
  <si>
    <t>분리30호기</t>
  </si>
  <si>
    <t>워터배스2-11호기</t>
  </si>
  <si>
    <t>검사34호기</t>
  </si>
  <si>
    <t>S관(3공장)</t>
  </si>
  <si>
    <t>A형 인라인4호기</t>
  </si>
  <si>
    <t>누수/규격검사(3공장)</t>
  </si>
  <si>
    <t>분리28호기</t>
  </si>
  <si>
    <t>검사44호기</t>
  </si>
  <si>
    <t>조립4호기</t>
  </si>
  <si>
    <t>조립7호기</t>
  </si>
  <si>
    <t>검사15호기</t>
  </si>
  <si>
    <t>분리22호기</t>
  </si>
  <si>
    <t>조립16호기</t>
  </si>
  <si>
    <t>검사40호기</t>
  </si>
  <si>
    <t>워터배스2-9호기</t>
  </si>
  <si>
    <t>워터배스2-14호기</t>
  </si>
  <si>
    <t>검사45호기</t>
  </si>
  <si>
    <t>조립52호기</t>
  </si>
  <si>
    <t>검사11호기</t>
  </si>
  <si>
    <t>조립47호기</t>
  </si>
  <si>
    <t>워터배스2-1호기</t>
  </si>
  <si>
    <t>A형 인라인3호기</t>
  </si>
  <si>
    <t>검사48호기</t>
  </si>
  <si>
    <t>검사36호기</t>
  </si>
  <si>
    <t>검사35호기</t>
  </si>
  <si>
    <t>분리33호기</t>
  </si>
  <si>
    <t>워터배스1-4호기</t>
  </si>
  <si>
    <t>검사46호기</t>
  </si>
  <si>
    <t>분리43호기</t>
  </si>
  <si>
    <t>B형 분리수화접착2호기</t>
  </si>
  <si>
    <t>B형 분리수화접착1호기</t>
  </si>
  <si>
    <t>분리31호기</t>
  </si>
  <si>
    <t>분리20호기</t>
  </si>
  <si>
    <t>조립50호기</t>
  </si>
  <si>
    <t>B형 분리수화접착4호기</t>
  </si>
  <si>
    <t>A형 인라인1호기</t>
  </si>
  <si>
    <t>A형 인라인2호기</t>
  </si>
  <si>
    <t>검사18호기</t>
  </si>
  <si>
    <t>A형 인라인6호기</t>
  </si>
  <si>
    <t>검사37호기</t>
  </si>
  <si>
    <t>검사23호기</t>
  </si>
  <si>
    <t>워터배스1-5호기</t>
  </si>
  <si>
    <t>S관 실리콘 자동수화기</t>
  </si>
  <si>
    <t>워터배스1-1호기</t>
  </si>
  <si>
    <t>조립59호기</t>
  </si>
  <si>
    <t>CAM분리3호기</t>
  </si>
  <si>
    <t>CAM분리4호기</t>
  </si>
  <si>
    <t>검사22호기</t>
  </si>
  <si>
    <t>A형 인라인5호기</t>
  </si>
  <si>
    <t>워터배스2-4호기</t>
  </si>
  <si>
    <t>검사38호기</t>
  </si>
  <si>
    <t>분리36호기</t>
  </si>
  <si>
    <t>B형 분리수화접착5호기</t>
  </si>
  <si>
    <t>누수/규격검사(1공장)</t>
  </si>
  <si>
    <t>워터배스2-13호기</t>
  </si>
  <si>
    <t>검사39호기</t>
  </si>
  <si>
    <t>분리25호기</t>
  </si>
  <si>
    <t>워터배스1-6호기</t>
  </si>
  <si>
    <t>검사17호기</t>
  </si>
  <si>
    <t>분리37호기</t>
  </si>
  <si>
    <t>검사10호기</t>
  </si>
  <si>
    <t>조립27호기</t>
  </si>
  <si>
    <t>워터배스2-10호기</t>
  </si>
  <si>
    <t>조립40호기</t>
  </si>
  <si>
    <t>분리13호기</t>
  </si>
  <si>
    <t>검사20호기</t>
  </si>
  <si>
    <t>1공장 실리콘수화기</t>
  </si>
  <si>
    <t>분리32호기</t>
  </si>
  <si>
    <t>분리34호기</t>
  </si>
  <si>
    <t>워터배스2-3호기</t>
  </si>
  <si>
    <t>분리16호기</t>
  </si>
  <si>
    <t>분리27호기</t>
  </si>
  <si>
    <t>분리35호기</t>
  </si>
  <si>
    <t>분리23호기</t>
  </si>
  <si>
    <t>분리5호기</t>
  </si>
  <si>
    <t>바이알캡핑기</t>
  </si>
  <si>
    <t>분리19호기</t>
  </si>
  <si>
    <t>조립6호기</t>
  </si>
  <si>
    <t>[00] 배합</t>
  </si>
  <si>
    <t>분리14호기</t>
  </si>
  <si>
    <t>조립25호기</t>
  </si>
  <si>
    <t>조립10호기</t>
  </si>
  <si>
    <t>조립5호기</t>
  </si>
  <si>
    <t>조립54호기</t>
  </si>
  <si>
    <t>분리24호기</t>
  </si>
  <si>
    <t>분리29호기</t>
  </si>
  <si>
    <t>조립31호기</t>
  </si>
  <si>
    <t>조립24호기</t>
  </si>
  <si>
    <t>조립11호기</t>
  </si>
  <si>
    <t>분리42호기(초음파)</t>
  </si>
  <si>
    <t>B형 조립중합3호기</t>
  </si>
  <si>
    <t>조립45호기</t>
  </si>
  <si>
    <t>워터배스1-2호기</t>
  </si>
  <si>
    <t>조립8호기</t>
  </si>
  <si>
    <t>분리26호기</t>
  </si>
  <si>
    <t>조립1호기</t>
  </si>
  <si>
    <t>조립2호기</t>
  </si>
  <si>
    <t>조립55호기</t>
  </si>
  <si>
    <t>조립58호기</t>
  </si>
  <si>
    <t>조립56호기</t>
  </si>
  <si>
    <t>조립42호기</t>
  </si>
  <si>
    <t>분리10호기</t>
  </si>
  <si>
    <t>워터배스2-5호기</t>
  </si>
  <si>
    <t>조립41호기</t>
  </si>
  <si>
    <t>검사21호기</t>
  </si>
  <si>
    <t>워터배스2-8호기</t>
  </si>
  <si>
    <t>조립22호기</t>
  </si>
  <si>
    <t>분리11호기</t>
  </si>
  <si>
    <t>B형 분리수화접착6호기</t>
  </si>
  <si>
    <t>B형 분리수화접착7호기</t>
  </si>
  <si>
    <t>CAM분리2호기</t>
  </si>
  <si>
    <t>검사9호기</t>
  </si>
  <si>
    <t>검사19호기</t>
  </si>
  <si>
    <t>조립3호기</t>
  </si>
  <si>
    <t>워터배스2-7호기</t>
  </si>
  <si>
    <t>CAM분리1호기</t>
  </si>
  <si>
    <t>검사6호기</t>
  </si>
  <si>
    <t>조립49호기</t>
  </si>
  <si>
    <t>검사16호기</t>
  </si>
  <si>
    <t>조립51호기</t>
  </si>
  <si>
    <t>조립44호기</t>
  </si>
  <si>
    <t>조립46호기</t>
  </si>
  <si>
    <t>조립26호기</t>
  </si>
  <si>
    <t>조립57호기</t>
  </si>
  <si>
    <t>조립53호기</t>
  </si>
  <si>
    <t>B형 분리수화접착3호기</t>
  </si>
  <si>
    <t>검사7호기</t>
  </si>
  <si>
    <t>조립17호기</t>
  </si>
  <si>
    <t>B형 분리수화접착8호기</t>
  </si>
  <si>
    <t>조립18호기</t>
  </si>
  <si>
    <t>B형 조립중합5호기</t>
  </si>
  <si>
    <t>워터배스2-6호기</t>
  </si>
  <si>
    <r>
      <rPr>
        <sz val="12"/>
        <color theme="1"/>
        <rFont val="맑은 고딕"/>
        <family val="3"/>
        <charset val="129"/>
      </rPr>
      <t>이론상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최대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생산량</t>
    </r>
    <phoneticPr fontId="1" type="noConversion"/>
  </si>
  <si>
    <t>조립30호기</t>
  </si>
  <si>
    <t>조립32호기</t>
  </si>
  <si>
    <t>조립33호기</t>
  </si>
  <si>
    <t>PBT분리1호기</t>
  </si>
  <si>
    <t>PBT분리2호기</t>
  </si>
  <si>
    <t>분리1호기</t>
  </si>
  <si>
    <t>분리2호기</t>
  </si>
  <si>
    <t>분리41호기(초음파)</t>
  </si>
  <si>
    <t>1공장 MC수화기</t>
  </si>
  <si>
    <t>조립13호기</t>
  </si>
  <si>
    <t>조립14호기</t>
  </si>
  <si>
    <t>조립19호기</t>
  </si>
  <si>
    <t>조립20호기</t>
  </si>
  <si>
    <t>조립21호기</t>
  </si>
  <si>
    <t>조립23호기</t>
  </si>
  <si>
    <t>조립43호기</t>
  </si>
  <si>
    <t>조립12호기</t>
  </si>
  <si>
    <t>조립15호기</t>
  </si>
  <si>
    <t>분리12호기</t>
  </si>
  <si>
    <t>분리15호기</t>
  </si>
  <si>
    <t>분리17호기</t>
  </si>
  <si>
    <t>분리18호기</t>
  </si>
  <si>
    <t>분리21호기</t>
  </si>
  <si>
    <t>분리38호기(초음파)</t>
  </si>
  <si>
    <t>분리39호기(초음파)</t>
  </si>
  <si>
    <t>분리40호기(초음파)</t>
  </si>
  <si>
    <t>분리44호기</t>
  </si>
  <si>
    <t>2공장 MC수화기</t>
  </si>
  <si>
    <t>실리콘워터배스2-16호기</t>
  </si>
  <si>
    <t>워터배스2-15호기</t>
  </si>
  <si>
    <t>워터배스2-16호기</t>
  </si>
  <si>
    <t>워터배스2-17호기</t>
  </si>
  <si>
    <t>워터배스2-19호기</t>
  </si>
  <si>
    <t>자동워터배스2-15호기</t>
  </si>
  <si>
    <t>검사24호기</t>
  </si>
  <si>
    <t>검사26호기</t>
  </si>
  <si>
    <t>검사27호기</t>
  </si>
  <si>
    <t>검사30호기</t>
  </si>
  <si>
    <t>검사31호기</t>
  </si>
  <si>
    <t>검사32호기</t>
  </si>
  <si>
    <t>검사33호기</t>
  </si>
  <si>
    <t>B형 조립중합1호기</t>
  </si>
  <si>
    <t>B형 조립중합2호기</t>
  </si>
  <si>
    <t>B형 조립중합4호기</t>
  </si>
  <si>
    <t>B형 조립중합6호기</t>
  </si>
  <si>
    <t>B형 조립중합7호기</t>
  </si>
  <si>
    <t>CAM분리5호기</t>
  </si>
  <si>
    <t>CAM분리6호기</t>
  </si>
  <si>
    <t>분리7호기</t>
  </si>
  <si>
    <t>총합계</t>
  </si>
  <si>
    <t>기계명</t>
  </si>
  <si>
    <t>A관 멸균1호기</t>
  </si>
  <si>
    <t>[85] 포장</t>
  </si>
  <si>
    <t>(반자동)소사각라벨링1</t>
  </si>
  <si>
    <t>(반자동)소사각라벨링2</t>
  </si>
  <si>
    <t>(반자동)중사각,원형라벨링1</t>
  </si>
  <si>
    <t>(반자동)중사각,원형라벨링2</t>
  </si>
  <si>
    <t>레이져마킹 2호기</t>
  </si>
  <si>
    <t>레이져마킹 3호기</t>
  </si>
  <si>
    <t>레이져마킹 5호기</t>
  </si>
  <si>
    <t>레이져마킹 6호기</t>
  </si>
  <si>
    <t>바이알 레이져마킹기</t>
  </si>
  <si>
    <t>바이알라벨1호기</t>
  </si>
  <si>
    <t>소사각라벨링1</t>
  </si>
  <si>
    <t>소사각라벨링2</t>
  </si>
  <si>
    <t>수동라벨링</t>
  </si>
  <si>
    <t>수동포장(A관)</t>
  </si>
  <si>
    <t>원형라벨</t>
  </si>
  <si>
    <t>중사각라벨</t>
  </si>
  <si>
    <t>포장15호기(TUCK IN)</t>
  </si>
  <si>
    <t>포장1호기(HOT MELT)</t>
  </si>
  <si>
    <t>포장3호기(TUCK IN)</t>
  </si>
  <si>
    <t>분리6호기(초음파)</t>
  </si>
  <si>
    <t>워터배스2-18호기</t>
  </si>
  <si>
    <t>C관 멸균기1호기</t>
  </si>
  <si>
    <t>C관 멸균기2호기</t>
  </si>
  <si>
    <t>1-DAY Labeling기</t>
  </si>
  <si>
    <t>레이져마킹 1호기</t>
  </si>
  <si>
    <t>레이져마킹 4호기</t>
  </si>
  <si>
    <t>레이져마킹 8호기</t>
  </si>
  <si>
    <t>레이져마킹 9호기</t>
  </si>
  <si>
    <t>수동포장(C관)</t>
  </si>
  <si>
    <t>포장10호기</t>
  </si>
  <si>
    <t>포장11호기(대용량)</t>
  </si>
  <si>
    <t>포장12호기(FROM38% 사각)</t>
  </si>
  <si>
    <t>포장13호기</t>
  </si>
  <si>
    <t>포장14호기</t>
  </si>
  <si>
    <t>포장16호기(TUCK IN)</t>
  </si>
  <si>
    <t>포장2호기</t>
  </si>
  <si>
    <t>포장4호기</t>
  </si>
  <si>
    <t>포장5호기</t>
  </si>
  <si>
    <t>포장6호기</t>
  </si>
  <si>
    <t>포장7호기(EYEQUE 사각)</t>
  </si>
  <si>
    <t>포장8호기</t>
  </si>
  <si>
    <t>포장9호기</t>
  </si>
  <si>
    <t>[08] 몰드사출</t>
  </si>
  <si>
    <t>B형 사출10호기</t>
  </si>
  <si>
    <t>B형 사출11호기</t>
  </si>
  <si>
    <t>B형 사출12호기</t>
  </si>
  <si>
    <t>B형 사출13호기</t>
  </si>
  <si>
    <t>B형 사출14호기</t>
  </si>
  <si>
    <t>B형 사출15호기</t>
  </si>
  <si>
    <t>B형 사출16호기</t>
  </si>
  <si>
    <t>B형 사출17호기</t>
  </si>
  <si>
    <t>B형 사출18호기</t>
  </si>
  <si>
    <t>B형 사출1호기</t>
  </si>
  <si>
    <t>B형 사출2호기</t>
  </si>
  <si>
    <t>B형 사출3호기</t>
  </si>
  <si>
    <t>B형 사출4호기</t>
  </si>
  <si>
    <t>B형 사출5호기</t>
  </si>
  <si>
    <t>B형 사출6호기</t>
  </si>
  <si>
    <t>B형 사출7호기</t>
  </si>
  <si>
    <t>B형 사출8호기</t>
  </si>
  <si>
    <t>B형 사출9호기</t>
  </si>
  <si>
    <t>[09] 몰드인쇄</t>
  </si>
  <si>
    <t>B형 인쇄1호기</t>
  </si>
  <si>
    <t>B형 인쇄2호기</t>
  </si>
  <si>
    <t>B형 인쇄3호기</t>
  </si>
  <si>
    <t>B형 인쇄4호기</t>
  </si>
  <si>
    <t>B형 인쇄5호기</t>
  </si>
  <si>
    <t>B형 인쇄6호기</t>
  </si>
  <si>
    <t>B형 인쇄7호기</t>
  </si>
  <si>
    <t>B형 인쇄8호기</t>
  </si>
  <si>
    <t>B형 조립중합8호기</t>
  </si>
  <si>
    <t>분리8호기</t>
  </si>
  <si>
    <t>분리9호기</t>
  </si>
  <si>
    <t>S관 멸균1호기</t>
  </si>
  <si>
    <t>계획정지
(Hrs)</t>
    <phoneticPr fontId="7" type="noConversion"/>
  </si>
  <si>
    <t>생산투입시간(Hrs)</t>
    <phoneticPr fontId="7" type="noConversion"/>
  </si>
  <si>
    <t>목표량</t>
    <phoneticPr fontId="7" type="noConversion"/>
  </si>
  <si>
    <t>실 생산량</t>
    <phoneticPr fontId="7" type="noConversion"/>
  </si>
  <si>
    <t>ERP마감</t>
    <phoneticPr fontId="7" type="noConversion"/>
  </si>
  <si>
    <t>종합효율</t>
    <phoneticPr fontId="7" type="noConversion"/>
  </si>
  <si>
    <t>UPH</t>
    <phoneticPr fontId="7" type="noConversion"/>
  </si>
  <si>
    <t>부하</t>
    <phoneticPr fontId="7" type="noConversion"/>
  </si>
  <si>
    <t>정지</t>
    <phoneticPr fontId="7" type="noConversion"/>
  </si>
  <si>
    <t>가동</t>
    <phoneticPr fontId="7" type="noConversion"/>
  </si>
  <si>
    <t>불량</t>
    <phoneticPr fontId="7" type="noConversion"/>
  </si>
  <si>
    <t>양품</t>
    <phoneticPr fontId="7" type="noConversion"/>
  </si>
  <si>
    <t>시간가동율</t>
    <phoneticPr fontId="7" type="noConversion"/>
  </si>
  <si>
    <t>성능가동율</t>
    <phoneticPr fontId="7" type="noConversion"/>
  </si>
  <si>
    <t>가동율</t>
    <phoneticPr fontId="7" type="noConversion"/>
  </si>
  <si>
    <t>수율</t>
    <phoneticPr fontId="7" type="noConversion"/>
  </si>
  <si>
    <t>OEE</t>
    <phoneticPr fontId="7" type="noConversion"/>
  </si>
  <si>
    <t>C/T</t>
    <phoneticPr fontId="7" type="noConversion"/>
  </si>
  <si>
    <t>CAVITY</t>
    <phoneticPr fontId="7" type="noConversion"/>
  </si>
  <si>
    <t>비고</t>
    <phoneticPr fontId="1" type="noConversion"/>
  </si>
  <si>
    <t>베스 사이즈 : 소</t>
    <phoneticPr fontId="1" type="noConversion"/>
  </si>
  <si>
    <t>베스 사이즈 : 대</t>
    <phoneticPr fontId="1" type="noConversion"/>
  </si>
  <si>
    <t>베스 사이즈 : 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</si>
</sst>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=0]&quot;-&quot;;0.0"/>
  </numFmts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Segoe UI"/>
      <family val="2"/>
    </font>
    <font>
      <sz val="12"/>
      <color theme="1"/>
      <name val="맑은 고딕"/>
      <family val="3"/>
      <charset val="129"/>
    </font>
    <font>
      <sz val="12"/>
      <color theme="1"/>
      <name val="Segoe UI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4" fillId="0" borderId="0" xfId="0" applyFont="1"/>
    <xf numFmtId="0" fontId="0" fillId="2" borderId="0" xfId="0" applyFill="1"/>
    <xf numFmtId="0" fontId="6" fillId="3" borderId="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41" fontId="8" fillId="0" borderId="1" xfId="1" quotePrefix="1" applyFont="1" applyFill="1" applyBorder="1" applyProtection="1">
      <alignment vertical="center"/>
    </xf>
    <xf numFmtId="176" fontId="8" fillId="0" borderId="1" xfId="1" quotePrefix="1" applyNumberFormat="1" applyFont="1" applyFill="1" applyBorder="1" applyAlignment="1" applyProtection="1">
      <alignment horizontal="center" vertical="center"/>
    </xf>
    <xf numFmtId="176" fontId="0" fillId="0" borderId="0" xfId="0" applyNumberFormat="1"/>
    <xf numFmtId="9" fontId="8" fillId="0" borderId="16" xfId="2" applyFont="1" applyBorder="1" applyAlignment="1" applyProtection="1">
      <alignment horizontal="center" vertical="center"/>
    </xf>
    <xf numFmtId="9" fontId="8" fillId="0" borderId="1" xfId="2" applyFont="1" applyBorder="1" applyAlignment="1" applyProtection="1">
      <alignment horizontal="center" vertical="center"/>
    </xf>
    <xf numFmtId="9" fontId="8" fillId="0" borderId="2" xfId="2" applyFont="1" applyFill="1" applyBorder="1" applyAlignment="1" applyProtection="1">
      <alignment horizontal="center" vertical="center"/>
    </xf>
    <xf numFmtId="9" fontId="8" fillId="0" borderId="17" xfId="2" applyFont="1" applyFill="1" applyBorder="1" applyAlignment="1" applyProtection="1">
      <alignment horizontal="center" vertical="center"/>
    </xf>
    <xf numFmtId="0" fontId="0" fillId="4" borderId="0" xfId="0" applyFill="1"/>
    <xf numFmtId="0" fontId="6" fillId="3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1"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opLeftCell="A171" zoomScale="85" zoomScaleNormal="85" workbookViewId="0">
      <selection activeCell="D51" sqref="D51"/>
    </sheetView>
  </sheetViews>
  <sheetFormatPr defaultRowHeight="16.5" x14ac:dyDescent="0.3"/>
  <cols>
    <col min="1" max="1" width="10.625" bestFit="1" customWidth="1"/>
    <col min="2" max="2" width="26.5" bestFit="1" customWidth="1"/>
    <col min="3" max="13" width="36.5" customWidth="1"/>
  </cols>
  <sheetData>
    <row r="1" spans="1:4" ht="17.25" x14ac:dyDescent="0.3">
      <c r="A1" t="s">
        <v>0</v>
      </c>
      <c r="B1" t="s">
        <v>1</v>
      </c>
      <c r="C1" t="s">
        <v>2</v>
      </c>
      <c r="D1" s="1" t="s">
        <v>155</v>
      </c>
    </row>
    <row r="2" spans="1:4" x14ac:dyDescent="0.3">
      <c r="A2" t="s">
        <v>3</v>
      </c>
      <c r="B2" t="s">
        <v>101</v>
      </c>
      <c r="C2" t="s">
        <v>105</v>
      </c>
      <c r="D2">
        <v>20000</v>
      </c>
    </row>
    <row r="3" spans="1:4" x14ac:dyDescent="0.3">
      <c r="A3" t="s">
        <v>3</v>
      </c>
      <c r="B3" t="s">
        <v>101</v>
      </c>
      <c r="C3" t="s">
        <v>118</v>
      </c>
      <c r="D3">
        <v>20000</v>
      </c>
    </row>
    <row r="4" spans="1:4" x14ac:dyDescent="0.3">
      <c r="A4" t="s">
        <v>3</v>
      </c>
      <c r="B4" t="s">
        <v>101</v>
      </c>
      <c r="C4" t="s">
        <v>119</v>
      </c>
      <c r="D4">
        <v>20000</v>
      </c>
    </row>
    <row r="5" spans="1:4" x14ac:dyDescent="0.3">
      <c r="A5" t="s">
        <v>3</v>
      </c>
      <c r="B5" t="s">
        <v>101</v>
      </c>
      <c r="C5" t="s">
        <v>136</v>
      </c>
      <c r="D5">
        <v>20000</v>
      </c>
    </row>
    <row r="6" spans="1:4" x14ac:dyDescent="0.3">
      <c r="A6" t="s">
        <v>3</v>
      </c>
      <c r="B6" t="s">
        <v>101</v>
      </c>
      <c r="C6" t="s">
        <v>116</v>
      </c>
      <c r="D6">
        <v>20000</v>
      </c>
    </row>
    <row r="7" spans="1:4" x14ac:dyDescent="0.3">
      <c r="A7" t="s">
        <v>3</v>
      </c>
      <c r="B7" t="s">
        <v>101</v>
      </c>
      <c r="C7" t="s">
        <v>32</v>
      </c>
      <c r="D7">
        <v>20000</v>
      </c>
    </row>
    <row r="8" spans="1:4" x14ac:dyDescent="0.3">
      <c r="A8" t="s">
        <v>3</v>
      </c>
      <c r="B8" t="s">
        <v>101</v>
      </c>
      <c r="C8" t="s">
        <v>31</v>
      </c>
      <c r="D8">
        <v>20000</v>
      </c>
    </row>
    <row r="9" spans="1:4" x14ac:dyDescent="0.3">
      <c r="A9" t="s">
        <v>3</v>
      </c>
      <c r="B9" t="s">
        <v>101</v>
      </c>
      <c r="C9" t="s">
        <v>100</v>
      </c>
      <c r="D9">
        <v>20000</v>
      </c>
    </row>
    <row r="10" spans="1:4" x14ac:dyDescent="0.3">
      <c r="A10" t="s">
        <v>3</v>
      </c>
      <c r="B10" t="s">
        <v>101</v>
      </c>
      <c r="C10" t="s">
        <v>109</v>
      </c>
      <c r="D10">
        <v>20000</v>
      </c>
    </row>
    <row r="11" spans="1:4" x14ac:dyDescent="0.3">
      <c r="A11" t="s">
        <v>3</v>
      </c>
      <c r="B11" t="s">
        <v>16</v>
      </c>
      <c r="C11" t="s">
        <v>31</v>
      </c>
      <c r="D11">
        <v>20000</v>
      </c>
    </row>
    <row r="12" spans="1:4" x14ac:dyDescent="0.3">
      <c r="A12" t="s">
        <v>3</v>
      </c>
      <c r="B12" t="s">
        <v>16</v>
      </c>
      <c r="C12" t="s">
        <v>32</v>
      </c>
      <c r="D12">
        <v>20000</v>
      </c>
    </row>
    <row r="13" spans="1:4" x14ac:dyDescent="0.3">
      <c r="A13" t="s">
        <v>3</v>
      </c>
      <c r="B13" t="s">
        <v>16</v>
      </c>
      <c r="C13" t="s">
        <v>100</v>
      </c>
      <c r="D13">
        <v>20000</v>
      </c>
    </row>
    <row r="14" spans="1:4" x14ac:dyDescent="0.3">
      <c r="A14" t="s">
        <v>3</v>
      </c>
      <c r="B14" t="s">
        <v>16</v>
      </c>
      <c r="C14" t="s">
        <v>105</v>
      </c>
      <c r="D14">
        <v>20000</v>
      </c>
    </row>
    <row r="15" spans="1:4" x14ac:dyDescent="0.3">
      <c r="A15" t="s">
        <v>3</v>
      </c>
      <c r="B15" t="s">
        <v>16</v>
      </c>
      <c r="C15" t="s">
        <v>109</v>
      </c>
      <c r="D15">
        <v>20000</v>
      </c>
    </row>
    <row r="16" spans="1:4" x14ac:dyDescent="0.3">
      <c r="A16" t="s">
        <v>3</v>
      </c>
      <c r="B16" t="s">
        <v>16</v>
      </c>
      <c r="C16" t="s">
        <v>116</v>
      </c>
      <c r="D16">
        <v>20000</v>
      </c>
    </row>
    <row r="17" spans="1:4" x14ac:dyDescent="0.3">
      <c r="A17" t="s">
        <v>3</v>
      </c>
      <c r="B17" t="s">
        <v>16</v>
      </c>
      <c r="C17" t="s">
        <v>118</v>
      </c>
      <c r="D17">
        <v>20000</v>
      </c>
    </row>
    <row r="18" spans="1:4" x14ac:dyDescent="0.3">
      <c r="A18" t="s">
        <v>3</v>
      </c>
      <c r="B18" t="s">
        <v>16</v>
      </c>
      <c r="C18" t="s">
        <v>119</v>
      </c>
      <c r="D18">
        <v>20000</v>
      </c>
    </row>
    <row r="19" spans="1:4" x14ac:dyDescent="0.3">
      <c r="A19" t="s">
        <v>3</v>
      </c>
      <c r="B19" t="s">
        <v>16</v>
      </c>
      <c r="C19" t="s">
        <v>136</v>
      </c>
      <c r="D19">
        <v>20000</v>
      </c>
    </row>
    <row r="20" spans="1:4" x14ac:dyDescent="0.3">
      <c r="A20" t="s">
        <v>3</v>
      </c>
      <c r="B20" t="s">
        <v>4</v>
      </c>
      <c r="C20" t="s">
        <v>5</v>
      </c>
      <c r="D20">
        <v>20000</v>
      </c>
    </row>
    <row r="21" spans="1:4" x14ac:dyDescent="0.3">
      <c r="A21" t="s">
        <v>3</v>
      </c>
      <c r="B21" t="s">
        <v>4</v>
      </c>
      <c r="C21" t="s">
        <v>18</v>
      </c>
      <c r="D21">
        <v>20000</v>
      </c>
    </row>
    <row r="22" spans="1:4" x14ac:dyDescent="0.3">
      <c r="A22" t="s">
        <v>3</v>
      </c>
      <c r="B22" t="s">
        <v>4</v>
      </c>
      <c r="C22" t="s">
        <v>97</v>
      </c>
      <c r="D22">
        <v>20000</v>
      </c>
    </row>
    <row r="23" spans="1:4" x14ac:dyDescent="0.3">
      <c r="A23" t="s">
        <v>3</v>
      </c>
      <c r="B23" t="s">
        <v>4</v>
      </c>
      <c r="C23" t="s">
        <v>102</v>
      </c>
      <c r="D23">
        <v>20000</v>
      </c>
    </row>
    <row r="24" spans="1:4" x14ac:dyDescent="0.3">
      <c r="A24" t="s">
        <v>3</v>
      </c>
      <c r="B24" t="s">
        <v>4</v>
      </c>
      <c r="C24" t="s">
        <v>112</v>
      </c>
      <c r="D24">
        <v>20000</v>
      </c>
    </row>
    <row r="25" spans="1:4" x14ac:dyDescent="0.3">
      <c r="A25" t="s">
        <v>3</v>
      </c>
      <c r="B25" t="s">
        <v>4</v>
      </c>
      <c r="C25" t="s">
        <v>124</v>
      </c>
      <c r="D25">
        <v>20000</v>
      </c>
    </row>
    <row r="26" spans="1:4" x14ac:dyDescent="0.3">
      <c r="A26" t="s">
        <v>3</v>
      </c>
      <c r="B26" t="s">
        <v>4</v>
      </c>
      <c r="C26" t="s">
        <v>130</v>
      </c>
      <c r="D26">
        <v>20000</v>
      </c>
    </row>
    <row r="27" spans="1:4" x14ac:dyDescent="0.3">
      <c r="A27" t="s">
        <v>3</v>
      </c>
      <c r="B27" t="s">
        <v>7</v>
      </c>
      <c r="C27" t="s">
        <v>11</v>
      </c>
      <c r="D27">
        <v>20000</v>
      </c>
    </row>
    <row r="28" spans="1:4" x14ac:dyDescent="0.3">
      <c r="A28" t="s">
        <v>3</v>
      </c>
      <c r="B28" t="s">
        <v>7</v>
      </c>
      <c r="C28" t="s">
        <v>49</v>
      </c>
      <c r="D28">
        <v>20000</v>
      </c>
    </row>
    <row r="29" spans="1:4" x14ac:dyDescent="0.3">
      <c r="A29" t="s">
        <v>3</v>
      </c>
      <c r="B29" t="s">
        <v>7</v>
      </c>
      <c r="C29" t="s">
        <v>64</v>
      </c>
      <c r="D29">
        <v>20000</v>
      </c>
    </row>
    <row r="30" spans="1:4" x14ac:dyDescent="0.3">
      <c r="A30" t="s">
        <v>3</v>
      </c>
      <c r="B30" t="s">
        <v>7</v>
      </c>
      <c r="C30" t="s">
        <v>66</v>
      </c>
      <c r="D30">
        <v>20000</v>
      </c>
    </row>
    <row r="31" spans="1:4" x14ac:dyDescent="0.3">
      <c r="A31" t="s">
        <v>3</v>
      </c>
      <c r="B31" t="s">
        <v>7</v>
      </c>
      <c r="C31" t="s">
        <v>80</v>
      </c>
      <c r="D31">
        <v>20000</v>
      </c>
    </row>
    <row r="32" spans="1:4" x14ac:dyDescent="0.3">
      <c r="A32" t="s">
        <v>3</v>
      </c>
      <c r="B32" t="s">
        <v>7</v>
      </c>
      <c r="C32" t="s">
        <v>89</v>
      </c>
      <c r="D32">
        <v>20000</v>
      </c>
    </row>
    <row r="33" spans="1:4" x14ac:dyDescent="0.3">
      <c r="A33" t="s">
        <v>3</v>
      </c>
      <c r="B33" t="s">
        <v>7</v>
      </c>
      <c r="C33" t="s">
        <v>115</v>
      </c>
      <c r="D33">
        <v>20000</v>
      </c>
    </row>
    <row r="34" spans="1:4" x14ac:dyDescent="0.3">
      <c r="A34" t="s">
        <v>3</v>
      </c>
      <c r="B34" t="s">
        <v>9</v>
      </c>
      <c r="C34" t="s">
        <v>15</v>
      </c>
      <c r="D34">
        <v>20000</v>
      </c>
    </row>
    <row r="35" spans="1:4" x14ac:dyDescent="0.3">
      <c r="A35" t="s">
        <v>3</v>
      </c>
      <c r="B35" t="s">
        <v>9</v>
      </c>
      <c r="C35" t="s">
        <v>19</v>
      </c>
      <c r="D35">
        <v>20000</v>
      </c>
    </row>
    <row r="36" spans="1:4" x14ac:dyDescent="0.3">
      <c r="A36" t="s">
        <v>3</v>
      </c>
      <c r="B36" t="s">
        <v>9</v>
      </c>
      <c r="C36" t="s">
        <v>33</v>
      </c>
      <c r="D36">
        <v>20000</v>
      </c>
    </row>
    <row r="37" spans="1:4" x14ac:dyDescent="0.3">
      <c r="A37" t="s">
        <v>3</v>
      </c>
      <c r="B37" t="s">
        <v>9</v>
      </c>
      <c r="C37" t="s">
        <v>41</v>
      </c>
      <c r="D37">
        <v>20000</v>
      </c>
    </row>
    <row r="38" spans="1:4" x14ac:dyDescent="0.3">
      <c r="A38" t="s">
        <v>3</v>
      </c>
      <c r="B38" t="s">
        <v>9</v>
      </c>
      <c r="C38" t="s">
        <v>60</v>
      </c>
      <c r="D38">
        <v>20000</v>
      </c>
    </row>
    <row r="39" spans="1:4" x14ac:dyDescent="0.3">
      <c r="A39" t="s">
        <v>3</v>
      </c>
      <c r="B39" t="s">
        <v>9</v>
      </c>
      <c r="C39" t="s">
        <v>63</v>
      </c>
      <c r="D39">
        <v>20000</v>
      </c>
    </row>
    <row r="40" spans="1:4" x14ac:dyDescent="0.3">
      <c r="A40" t="s">
        <v>3</v>
      </c>
      <c r="B40" t="s">
        <v>9</v>
      </c>
      <c r="C40" t="s">
        <v>70</v>
      </c>
      <c r="D40">
        <v>20000</v>
      </c>
    </row>
    <row r="41" spans="1:4" x14ac:dyDescent="0.3">
      <c r="A41" t="s">
        <v>3</v>
      </c>
      <c r="B41" t="s">
        <v>9</v>
      </c>
      <c r="C41" t="s">
        <v>81</v>
      </c>
      <c r="D41">
        <v>20000</v>
      </c>
    </row>
    <row r="42" spans="1:4" x14ac:dyDescent="0.3">
      <c r="A42" t="s">
        <v>3</v>
      </c>
      <c r="B42" t="s">
        <v>9</v>
      </c>
      <c r="C42" t="s">
        <v>83</v>
      </c>
      <c r="D42">
        <v>20000</v>
      </c>
    </row>
    <row r="43" spans="1:4" x14ac:dyDescent="0.3">
      <c r="A43" t="s">
        <v>3</v>
      </c>
      <c r="B43" t="s">
        <v>9</v>
      </c>
      <c r="C43" t="s">
        <v>88</v>
      </c>
      <c r="D43">
        <v>20000</v>
      </c>
    </row>
    <row r="44" spans="1:4" x14ac:dyDescent="0.3">
      <c r="A44" t="s">
        <v>3</v>
      </c>
      <c r="B44" t="s">
        <v>9</v>
      </c>
      <c r="C44" t="s">
        <v>98</v>
      </c>
      <c r="D44">
        <v>20000</v>
      </c>
    </row>
    <row r="45" spans="1:4" x14ac:dyDescent="0.3">
      <c r="A45" t="s">
        <v>3</v>
      </c>
      <c r="B45" t="s">
        <v>9</v>
      </c>
      <c r="C45" t="s">
        <v>127</v>
      </c>
      <c r="D45">
        <v>20000</v>
      </c>
    </row>
    <row r="46" spans="1:4" x14ac:dyDescent="0.3">
      <c r="A46" t="s">
        <v>3</v>
      </c>
      <c r="B46" t="s">
        <v>9</v>
      </c>
      <c r="C46" t="s">
        <v>134</v>
      </c>
      <c r="D46">
        <v>20000</v>
      </c>
    </row>
    <row r="47" spans="1:4" x14ac:dyDescent="0.3">
      <c r="A47" t="s">
        <v>3</v>
      </c>
      <c r="B47" t="s">
        <v>9</v>
      </c>
      <c r="C47" t="s">
        <v>135</v>
      </c>
      <c r="D47">
        <v>20000</v>
      </c>
    </row>
    <row r="48" spans="1:4" x14ac:dyDescent="0.3">
      <c r="A48" t="s">
        <v>3</v>
      </c>
      <c r="B48" t="s">
        <v>9</v>
      </c>
      <c r="C48" t="s">
        <v>139</v>
      </c>
      <c r="D48">
        <v>20000</v>
      </c>
    </row>
    <row r="49" spans="1:4" x14ac:dyDescent="0.3">
      <c r="A49" t="s">
        <v>3</v>
      </c>
      <c r="B49" t="s">
        <v>9</v>
      </c>
      <c r="C49" t="s">
        <v>141</v>
      </c>
      <c r="D49">
        <v>20000</v>
      </c>
    </row>
    <row r="50" spans="1:4" x14ac:dyDescent="0.3">
      <c r="A50" t="s">
        <v>3</v>
      </c>
      <c r="B50" t="s">
        <v>9</v>
      </c>
      <c r="C50" t="s">
        <v>149</v>
      </c>
      <c r="D50">
        <v>20000</v>
      </c>
    </row>
    <row r="51" spans="1:4" x14ac:dyDescent="0.3">
      <c r="A51" t="s">
        <v>3</v>
      </c>
      <c r="B51" t="s">
        <v>12</v>
      </c>
      <c r="C51" t="s">
        <v>76</v>
      </c>
      <c r="D51">
        <v>20000</v>
      </c>
    </row>
    <row r="52" spans="1:4" x14ac:dyDescent="0.3">
      <c r="A52" t="s">
        <v>6</v>
      </c>
      <c r="B52" t="s">
        <v>101</v>
      </c>
      <c r="C52" t="s">
        <v>122</v>
      </c>
      <c r="D52">
        <v>20000</v>
      </c>
    </row>
    <row r="53" spans="1:4" x14ac:dyDescent="0.3">
      <c r="A53" t="s">
        <v>6</v>
      </c>
      <c r="B53" t="s">
        <v>101</v>
      </c>
      <c r="C53" t="s">
        <v>121</v>
      </c>
      <c r="D53">
        <v>20000</v>
      </c>
    </row>
    <row r="54" spans="1:4" x14ac:dyDescent="0.3">
      <c r="A54" t="s">
        <v>6</v>
      </c>
      <c r="B54" t="s">
        <v>101</v>
      </c>
      <c r="C54" t="s">
        <v>145</v>
      </c>
      <c r="D54">
        <v>20000</v>
      </c>
    </row>
    <row r="55" spans="1:4" x14ac:dyDescent="0.3">
      <c r="A55" t="s">
        <v>6</v>
      </c>
      <c r="B55" t="s">
        <v>101</v>
      </c>
      <c r="C55" t="s">
        <v>120</v>
      </c>
      <c r="D55">
        <v>20000</v>
      </c>
    </row>
    <row r="56" spans="1:4" x14ac:dyDescent="0.3">
      <c r="A56" t="s">
        <v>6</v>
      </c>
      <c r="B56" t="s">
        <v>101</v>
      </c>
      <c r="C56" t="s">
        <v>146</v>
      </c>
      <c r="D56">
        <v>20000</v>
      </c>
    </row>
    <row r="57" spans="1:4" x14ac:dyDescent="0.3">
      <c r="A57" t="s">
        <v>6</v>
      </c>
      <c r="B57" t="s">
        <v>101</v>
      </c>
      <c r="C57" t="s">
        <v>17</v>
      </c>
      <c r="D57">
        <v>20000</v>
      </c>
    </row>
    <row r="58" spans="1:4" x14ac:dyDescent="0.3">
      <c r="A58" t="s">
        <v>6</v>
      </c>
      <c r="B58" t="s">
        <v>101</v>
      </c>
      <c r="C58" t="s">
        <v>114</v>
      </c>
      <c r="D58">
        <v>20000</v>
      </c>
    </row>
    <row r="59" spans="1:4" x14ac:dyDescent="0.3">
      <c r="A59" t="s">
        <v>6</v>
      </c>
      <c r="B59" t="s">
        <v>101</v>
      </c>
      <c r="C59" t="s">
        <v>126</v>
      </c>
      <c r="D59">
        <v>20000</v>
      </c>
    </row>
    <row r="60" spans="1:4" x14ac:dyDescent="0.3">
      <c r="A60" t="s">
        <v>6</v>
      </c>
      <c r="B60" t="s">
        <v>101</v>
      </c>
      <c r="C60" t="s">
        <v>104</v>
      </c>
      <c r="D60">
        <v>20000</v>
      </c>
    </row>
    <row r="61" spans="1:4" x14ac:dyDescent="0.3">
      <c r="A61" t="s">
        <v>6</v>
      </c>
      <c r="B61" t="s">
        <v>101</v>
      </c>
      <c r="C61" t="s">
        <v>147</v>
      </c>
      <c r="D61">
        <v>20000</v>
      </c>
    </row>
    <row r="62" spans="1:4" x14ac:dyDescent="0.3">
      <c r="A62" t="s">
        <v>6</v>
      </c>
      <c r="B62" t="s">
        <v>101</v>
      </c>
      <c r="C62" t="s">
        <v>40</v>
      </c>
      <c r="D62">
        <v>20000</v>
      </c>
    </row>
    <row r="63" spans="1:4" x14ac:dyDescent="0.3">
      <c r="A63" t="s">
        <v>6</v>
      </c>
      <c r="B63" t="s">
        <v>101</v>
      </c>
      <c r="C63" t="s">
        <v>123</v>
      </c>
      <c r="D63">
        <v>20000</v>
      </c>
    </row>
    <row r="64" spans="1:4" x14ac:dyDescent="0.3">
      <c r="A64" t="s">
        <v>6</v>
      </c>
      <c r="B64" t="s">
        <v>101</v>
      </c>
      <c r="C64" t="s">
        <v>142</v>
      </c>
      <c r="D64">
        <v>20000</v>
      </c>
    </row>
    <row r="65" spans="1:4" x14ac:dyDescent="0.3">
      <c r="A65" t="s">
        <v>6</v>
      </c>
      <c r="B65" t="s">
        <v>101</v>
      </c>
      <c r="C65" t="s">
        <v>144</v>
      </c>
      <c r="D65">
        <v>20000</v>
      </c>
    </row>
    <row r="66" spans="1:4" x14ac:dyDescent="0.3">
      <c r="A66" t="s">
        <v>6</v>
      </c>
      <c r="B66" t="s">
        <v>101</v>
      </c>
      <c r="C66" t="s">
        <v>84</v>
      </c>
      <c r="D66">
        <v>20000</v>
      </c>
    </row>
    <row r="67" spans="1:4" x14ac:dyDescent="0.3">
      <c r="A67" t="s">
        <v>6</v>
      </c>
      <c r="B67" t="s">
        <v>101</v>
      </c>
      <c r="C67" t="s">
        <v>35</v>
      </c>
      <c r="D67">
        <v>20000</v>
      </c>
    </row>
    <row r="68" spans="1:4" x14ac:dyDescent="0.3">
      <c r="A68" t="s">
        <v>6</v>
      </c>
      <c r="B68" t="s">
        <v>101</v>
      </c>
      <c r="C68" t="s">
        <v>42</v>
      </c>
      <c r="D68">
        <v>20000</v>
      </c>
    </row>
    <row r="69" spans="1:4" x14ac:dyDescent="0.3">
      <c r="A69" t="s">
        <v>6</v>
      </c>
      <c r="B69" t="s">
        <v>101</v>
      </c>
      <c r="C69" t="s">
        <v>86</v>
      </c>
      <c r="D69">
        <v>20000</v>
      </c>
    </row>
    <row r="70" spans="1:4" x14ac:dyDescent="0.3">
      <c r="A70" t="s">
        <v>6</v>
      </c>
      <c r="B70" t="s">
        <v>101</v>
      </c>
      <c r="C70" t="s">
        <v>67</v>
      </c>
      <c r="D70">
        <v>20000</v>
      </c>
    </row>
    <row r="71" spans="1:4" x14ac:dyDescent="0.3">
      <c r="A71" t="s">
        <v>6</v>
      </c>
      <c r="B71" t="s">
        <v>101</v>
      </c>
      <c r="C71" t="s">
        <v>152</v>
      </c>
      <c r="D71">
        <v>20000</v>
      </c>
    </row>
    <row r="72" spans="1:4" x14ac:dyDescent="0.3">
      <c r="A72" t="s">
        <v>6</v>
      </c>
      <c r="B72" t="s">
        <v>101</v>
      </c>
      <c r="C72" t="s">
        <v>56</v>
      </c>
      <c r="D72">
        <v>20000</v>
      </c>
    </row>
    <row r="73" spans="1:4" x14ac:dyDescent="0.3">
      <c r="A73" t="s">
        <v>6</v>
      </c>
      <c r="B73" t="s">
        <v>101</v>
      </c>
      <c r="C73" t="s">
        <v>111</v>
      </c>
      <c r="D73">
        <v>20000</v>
      </c>
    </row>
    <row r="74" spans="1:4" x14ac:dyDescent="0.3">
      <c r="A74" t="s">
        <v>6</v>
      </c>
      <c r="B74" t="s">
        <v>101</v>
      </c>
      <c r="C74" t="s">
        <v>140</v>
      </c>
      <c r="D74">
        <v>20000</v>
      </c>
    </row>
    <row r="75" spans="1:4" x14ac:dyDescent="0.3">
      <c r="A75" t="s">
        <v>6</v>
      </c>
      <c r="B75" t="s">
        <v>101</v>
      </c>
      <c r="C75" t="s">
        <v>103</v>
      </c>
      <c r="D75">
        <v>20000</v>
      </c>
    </row>
    <row r="76" spans="1:4" x14ac:dyDescent="0.3">
      <c r="A76" t="s">
        <v>6</v>
      </c>
      <c r="B76" t="s">
        <v>101</v>
      </c>
      <c r="C76" t="s">
        <v>150</v>
      </c>
      <c r="D76">
        <v>20000</v>
      </c>
    </row>
    <row r="77" spans="1:4" x14ac:dyDescent="0.3">
      <c r="A77" t="s">
        <v>6</v>
      </c>
      <c r="B77" t="s">
        <v>101</v>
      </c>
      <c r="C77" t="s">
        <v>110</v>
      </c>
      <c r="D77">
        <v>20000</v>
      </c>
    </row>
    <row r="78" spans="1:4" x14ac:dyDescent="0.3">
      <c r="A78" t="s">
        <v>6</v>
      </c>
      <c r="B78" t="s">
        <v>16</v>
      </c>
      <c r="C78" t="s">
        <v>17</v>
      </c>
      <c r="D78">
        <v>20000</v>
      </c>
    </row>
    <row r="79" spans="1:4" x14ac:dyDescent="0.3">
      <c r="A79" t="s">
        <v>6</v>
      </c>
      <c r="B79" t="s">
        <v>16</v>
      </c>
      <c r="C79" t="s">
        <v>35</v>
      </c>
      <c r="D79">
        <v>20000</v>
      </c>
    </row>
    <row r="80" spans="1:4" x14ac:dyDescent="0.3">
      <c r="A80" t="s">
        <v>6</v>
      </c>
      <c r="B80" t="s">
        <v>16</v>
      </c>
      <c r="C80" t="s">
        <v>40</v>
      </c>
      <c r="D80">
        <v>20000</v>
      </c>
    </row>
    <row r="81" spans="1:4" x14ac:dyDescent="0.3">
      <c r="A81" t="s">
        <v>6</v>
      </c>
      <c r="B81" t="s">
        <v>16</v>
      </c>
      <c r="C81" t="s">
        <v>42</v>
      </c>
      <c r="D81">
        <v>20000</v>
      </c>
    </row>
    <row r="82" spans="1:4" x14ac:dyDescent="0.3">
      <c r="A82" t="s">
        <v>6</v>
      </c>
      <c r="B82" t="s">
        <v>16</v>
      </c>
      <c r="C82" t="s">
        <v>56</v>
      </c>
      <c r="D82">
        <v>20000</v>
      </c>
    </row>
    <row r="83" spans="1:4" x14ac:dyDescent="0.3">
      <c r="A83" t="s">
        <v>6</v>
      </c>
      <c r="B83" t="s">
        <v>16</v>
      </c>
      <c r="C83" t="s">
        <v>67</v>
      </c>
      <c r="D83">
        <v>20000</v>
      </c>
    </row>
    <row r="84" spans="1:4" x14ac:dyDescent="0.3">
      <c r="A84" t="s">
        <v>6</v>
      </c>
      <c r="B84" t="s">
        <v>16</v>
      </c>
      <c r="C84" t="s">
        <v>84</v>
      </c>
      <c r="D84">
        <v>20000</v>
      </c>
    </row>
    <row r="85" spans="1:4" x14ac:dyDescent="0.3">
      <c r="A85" t="s">
        <v>6</v>
      </c>
      <c r="B85" t="s">
        <v>16</v>
      </c>
      <c r="C85" t="s">
        <v>86</v>
      </c>
      <c r="D85">
        <v>20000</v>
      </c>
    </row>
    <row r="86" spans="1:4" x14ac:dyDescent="0.3">
      <c r="A86" t="s">
        <v>6</v>
      </c>
      <c r="B86" t="s">
        <v>16</v>
      </c>
      <c r="C86" t="s">
        <v>103</v>
      </c>
      <c r="D86">
        <v>20000</v>
      </c>
    </row>
    <row r="87" spans="1:4" x14ac:dyDescent="0.3">
      <c r="A87" t="s">
        <v>6</v>
      </c>
      <c r="B87" t="s">
        <v>16</v>
      </c>
      <c r="C87" t="s">
        <v>104</v>
      </c>
      <c r="D87">
        <v>20000</v>
      </c>
    </row>
    <row r="88" spans="1:4" x14ac:dyDescent="0.3">
      <c r="A88" t="s">
        <v>6</v>
      </c>
      <c r="B88" t="s">
        <v>16</v>
      </c>
      <c r="C88" t="s">
        <v>106</v>
      </c>
      <c r="D88">
        <v>20000</v>
      </c>
    </row>
    <row r="89" spans="1:4" x14ac:dyDescent="0.3">
      <c r="A89" t="s">
        <v>6</v>
      </c>
      <c r="B89" t="s">
        <v>16</v>
      </c>
      <c r="C89" t="s">
        <v>110</v>
      </c>
      <c r="D89">
        <v>20000</v>
      </c>
    </row>
    <row r="90" spans="1:4" x14ac:dyDescent="0.3">
      <c r="A90" t="s">
        <v>6</v>
      </c>
      <c r="B90" t="s">
        <v>16</v>
      </c>
      <c r="C90" t="s">
        <v>111</v>
      </c>
      <c r="D90">
        <v>20000</v>
      </c>
    </row>
    <row r="91" spans="1:4" x14ac:dyDescent="0.3">
      <c r="A91" t="s">
        <v>6</v>
      </c>
      <c r="B91" t="s">
        <v>16</v>
      </c>
      <c r="C91" t="s">
        <v>114</v>
      </c>
      <c r="D91">
        <v>20000</v>
      </c>
    </row>
    <row r="92" spans="1:4" x14ac:dyDescent="0.3">
      <c r="A92" t="s">
        <v>6</v>
      </c>
      <c r="B92" t="s">
        <v>16</v>
      </c>
      <c r="C92" t="s">
        <v>120</v>
      </c>
      <c r="D92">
        <v>20000</v>
      </c>
    </row>
    <row r="93" spans="1:4" x14ac:dyDescent="0.3">
      <c r="A93" t="s">
        <v>6</v>
      </c>
      <c r="B93" t="s">
        <v>16</v>
      </c>
      <c r="C93" t="s">
        <v>121</v>
      </c>
      <c r="D93">
        <v>20000</v>
      </c>
    </row>
    <row r="94" spans="1:4" x14ac:dyDescent="0.3">
      <c r="A94" t="s">
        <v>6</v>
      </c>
      <c r="B94" t="s">
        <v>16</v>
      </c>
      <c r="C94" t="s">
        <v>122</v>
      </c>
      <c r="D94">
        <v>20000</v>
      </c>
    </row>
    <row r="95" spans="1:4" x14ac:dyDescent="0.3">
      <c r="A95" t="s">
        <v>6</v>
      </c>
      <c r="B95" t="s">
        <v>16</v>
      </c>
      <c r="C95" t="s">
        <v>123</v>
      </c>
      <c r="D95">
        <v>20000</v>
      </c>
    </row>
    <row r="96" spans="1:4" x14ac:dyDescent="0.3">
      <c r="A96" t="s">
        <v>6</v>
      </c>
      <c r="B96" t="s">
        <v>16</v>
      </c>
      <c r="C96" t="s">
        <v>126</v>
      </c>
      <c r="D96">
        <v>20000</v>
      </c>
    </row>
    <row r="97" spans="1:4" x14ac:dyDescent="0.3">
      <c r="A97" t="s">
        <v>6</v>
      </c>
      <c r="B97" t="s">
        <v>16</v>
      </c>
      <c r="C97" t="s">
        <v>129</v>
      </c>
      <c r="D97">
        <v>20000</v>
      </c>
    </row>
    <row r="98" spans="1:4" x14ac:dyDescent="0.3">
      <c r="A98" t="s">
        <v>6</v>
      </c>
      <c r="B98" t="s">
        <v>16</v>
      </c>
      <c r="C98" t="s">
        <v>140</v>
      </c>
      <c r="D98">
        <v>20000</v>
      </c>
    </row>
    <row r="99" spans="1:4" x14ac:dyDescent="0.3">
      <c r="A99" t="s">
        <v>6</v>
      </c>
      <c r="B99" t="s">
        <v>16</v>
      </c>
      <c r="C99" t="s">
        <v>142</v>
      </c>
      <c r="D99">
        <v>20000</v>
      </c>
    </row>
    <row r="100" spans="1:4" x14ac:dyDescent="0.3">
      <c r="A100" t="s">
        <v>6</v>
      </c>
      <c r="B100" t="s">
        <v>16</v>
      </c>
      <c r="C100" t="s">
        <v>143</v>
      </c>
      <c r="D100">
        <v>20000</v>
      </c>
    </row>
    <row r="101" spans="1:4" x14ac:dyDescent="0.3">
      <c r="A101" t="s">
        <v>6</v>
      </c>
      <c r="B101" t="s">
        <v>16</v>
      </c>
      <c r="C101" t="s">
        <v>144</v>
      </c>
      <c r="D101">
        <v>20000</v>
      </c>
    </row>
    <row r="102" spans="1:4" x14ac:dyDescent="0.3">
      <c r="A102" t="s">
        <v>6</v>
      </c>
      <c r="B102" t="s">
        <v>16</v>
      </c>
      <c r="C102" t="s">
        <v>145</v>
      </c>
      <c r="D102">
        <v>20000</v>
      </c>
    </row>
    <row r="103" spans="1:4" x14ac:dyDescent="0.3">
      <c r="A103" t="s">
        <v>6</v>
      </c>
      <c r="B103" t="s">
        <v>16</v>
      </c>
      <c r="C103" t="s">
        <v>146</v>
      </c>
      <c r="D103">
        <v>20000</v>
      </c>
    </row>
    <row r="104" spans="1:4" x14ac:dyDescent="0.3">
      <c r="A104" t="s">
        <v>6</v>
      </c>
      <c r="B104" t="s">
        <v>16</v>
      </c>
      <c r="C104" t="s">
        <v>147</v>
      </c>
      <c r="D104">
        <v>20000</v>
      </c>
    </row>
    <row r="105" spans="1:4" x14ac:dyDescent="0.3">
      <c r="A105" t="s">
        <v>6</v>
      </c>
      <c r="B105" t="s">
        <v>16</v>
      </c>
      <c r="C105" t="s">
        <v>150</v>
      </c>
      <c r="D105">
        <v>20000</v>
      </c>
    </row>
    <row r="106" spans="1:4" x14ac:dyDescent="0.3">
      <c r="A106" t="s">
        <v>6</v>
      </c>
      <c r="B106" t="s">
        <v>4</v>
      </c>
      <c r="C106" t="s">
        <v>23</v>
      </c>
      <c r="D106">
        <v>20000</v>
      </c>
    </row>
    <row r="107" spans="1:4" x14ac:dyDescent="0.3">
      <c r="A107" t="s">
        <v>6</v>
      </c>
      <c r="B107" t="s">
        <v>4</v>
      </c>
      <c r="C107" t="s">
        <v>29</v>
      </c>
      <c r="D107">
        <v>20000</v>
      </c>
    </row>
    <row r="108" spans="1:4" x14ac:dyDescent="0.3">
      <c r="A108" t="s">
        <v>6</v>
      </c>
      <c r="B108" t="s">
        <v>4</v>
      </c>
      <c r="C108" t="s">
        <v>34</v>
      </c>
      <c r="D108">
        <v>20000</v>
      </c>
    </row>
    <row r="109" spans="1:4" x14ac:dyDescent="0.3">
      <c r="A109" t="s">
        <v>6</v>
      </c>
      <c r="B109" t="s">
        <v>4</v>
      </c>
      <c r="C109" t="s">
        <v>48</v>
      </c>
      <c r="D109">
        <v>20000</v>
      </c>
    </row>
    <row r="110" spans="1:4" x14ac:dyDescent="0.3">
      <c r="A110" t="s">
        <v>6</v>
      </c>
      <c r="B110" t="s">
        <v>4</v>
      </c>
      <c r="C110" t="s">
        <v>51</v>
      </c>
      <c r="D110">
        <v>20000</v>
      </c>
    </row>
    <row r="111" spans="1:4" x14ac:dyDescent="0.3">
      <c r="A111" t="s">
        <v>6</v>
      </c>
      <c r="B111" t="s">
        <v>4</v>
      </c>
      <c r="C111" t="s">
        <v>54</v>
      </c>
      <c r="D111">
        <v>20000</v>
      </c>
    </row>
    <row r="112" spans="1:4" x14ac:dyDescent="0.3">
      <c r="A112" t="s">
        <v>6</v>
      </c>
      <c r="B112" t="s">
        <v>4</v>
      </c>
      <c r="C112" t="s">
        <v>55</v>
      </c>
      <c r="D112">
        <v>20000</v>
      </c>
    </row>
    <row r="113" spans="1:4" x14ac:dyDescent="0.3">
      <c r="A113" t="s">
        <v>6</v>
      </c>
      <c r="B113" t="s">
        <v>4</v>
      </c>
      <c r="C113" t="s">
        <v>74</v>
      </c>
      <c r="D113">
        <v>20000</v>
      </c>
    </row>
    <row r="114" spans="1:4" x14ac:dyDescent="0.3">
      <c r="A114" t="s">
        <v>6</v>
      </c>
      <c r="B114" t="s">
        <v>4</v>
      </c>
      <c r="C114" t="s">
        <v>79</v>
      </c>
      <c r="D114">
        <v>20000</v>
      </c>
    </row>
    <row r="115" spans="1:4" x14ac:dyDescent="0.3">
      <c r="A115" t="s">
        <v>6</v>
      </c>
      <c r="B115" t="s">
        <v>4</v>
      </c>
      <c r="C115" t="s">
        <v>82</v>
      </c>
      <c r="D115">
        <v>20000</v>
      </c>
    </row>
    <row r="116" spans="1:4" x14ac:dyDescent="0.3">
      <c r="A116" t="s">
        <v>6</v>
      </c>
      <c r="B116" t="s">
        <v>4</v>
      </c>
      <c r="C116" t="s">
        <v>87</v>
      </c>
      <c r="D116">
        <v>20000</v>
      </c>
    </row>
    <row r="117" spans="1:4" x14ac:dyDescent="0.3">
      <c r="A117" t="s">
        <v>6</v>
      </c>
      <c r="B117" t="s">
        <v>4</v>
      </c>
      <c r="C117" t="s">
        <v>90</v>
      </c>
      <c r="D117">
        <v>20000</v>
      </c>
    </row>
    <row r="118" spans="1:4" x14ac:dyDescent="0.3">
      <c r="A118" t="s">
        <v>6</v>
      </c>
      <c r="B118" t="s">
        <v>4</v>
      </c>
      <c r="C118" t="s">
        <v>91</v>
      </c>
      <c r="D118">
        <v>20000</v>
      </c>
    </row>
    <row r="119" spans="1:4" x14ac:dyDescent="0.3">
      <c r="A119" t="s">
        <v>6</v>
      </c>
      <c r="B119" t="s">
        <v>4</v>
      </c>
      <c r="C119" t="s">
        <v>93</v>
      </c>
      <c r="D119">
        <v>20000</v>
      </c>
    </row>
    <row r="120" spans="1:4" x14ac:dyDescent="0.3">
      <c r="A120" t="s">
        <v>6</v>
      </c>
      <c r="B120" t="s">
        <v>4</v>
      </c>
      <c r="C120" t="s">
        <v>94</v>
      </c>
      <c r="D120">
        <v>20000</v>
      </c>
    </row>
    <row r="121" spans="1:4" x14ac:dyDescent="0.3">
      <c r="A121" t="s">
        <v>6</v>
      </c>
      <c r="B121" t="s">
        <v>4</v>
      </c>
      <c r="C121" t="s">
        <v>95</v>
      </c>
      <c r="D121">
        <v>20000</v>
      </c>
    </row>
    <row r="122" spans="1:4" x14ac:dyDescent="0.3">
      <c r="A122" t="s">
        <v>6</v>
      </c>
      <c r="B122" t="s">
        <v>4</v>
      </c>
      <c r="C122" t="s">
        <v>96</v>
      </c>
      <c r="D122">
        <v>20000</v>
      </c>
    </row>
    <row r="123" spans="1:4" x14ac:dyDescent="0.3">
      <c r="A123" t="s">
        <v>6</v>
      </c>
      <c r="B123" t="s">
        <v>4</v>
      </c>
      <c r="C123" t="s">
        <v>99</v>
      </c>
      <c r="D123">
        <v>20000</v>
      </c>
    </row>
    <row r="124" spans="1:4" x14ac:dyDescent="0.3">
      <c r="A124" t="s">
        <v>6</v>
      </c>
      <c r="B124" t="s">
        <v>4</v>
      </c>
      <c r="C124" t="s">
        <v>107</v>
      </c>
      <c r="D124">
        <v>20000</v>
      </c>
    </row>
    <row r="125" spans="1:4" x14ac:dyDescent="0.3">
      <c r="A125" t="s">
        <v>6</v>
      </c>
      <c r="B125" t="s">
        <v>4</v>
      </c>
      <c r="C125" t="s">
        <v>108</v>
      </c>
      <c r="D125">
        <v>20000</v>
      </c>
    </row>
    <row r="126" spans="1:4" x14ac:dyDescent="0.3">
      <c r="A126" t="s">
        <v>6</v>
      </c>
      <c r="B126" t="s">
        <v>4</v>
      </c>
      <c r="C126" t="s">
        <v>117</v>
      </c>
      <c r="D126">
        <v>20000</v>
      </c>
    </row>
    <row r="127" spans="1:4" x14ac:dyDescent="0.3">
      <c r="A127" t="s">
        <v>6</v>
      </c>
      <c r="B127" t="s">
        <v>7</v>
      </c>
      <c r="C127" t="s">
        <v>8</v>
      </c>
      <c r="D127">
        <v>20000</v>
      </c>
    </row>
    <row r="128" spans="1:4" x14ac:dyDescent="0.3">
      <c r="A128" t="s">
        <v>6</v>
      </c>
      <c r="B128" t="s">
        <v>7</v>
      </c>
      <c r="C128" t="s">
        <v>14</v>
      </c>
      <c r="D128">
        <v>20000</v>
      </c>
    </row>
    <row r="129" spans="1:4" x14ac:dyDescent="0.3">
      <c r="A129" t="s">
        <v>6</v>
      </c>
      <c r="B129" t="s">
        <v>7</v>
      </c>
      <c r="C129" t="s">
        <v>24</v>
      </c>
      <c r="D129">
        <v>20000</v>
      </c>
    </row>
    <row r="130" spans="1:4" x14ac:dyDescent="0.3">
      <c r="A130" t="s">
        <v>6</v>
      </c>
      <c r="B130" t="s">
        <v>7</v>
      </c>
      <c r="C130" t="s">
        <v>37</v>
      </c>
      <c r="D130">
        <v>20000</v>
      </c>
    </row>
    <row r="131" spans="1:4" x14ac:dyDescent="0.3">
      <c r="A131" t="s">
        <v>6</v>
      </c>
      <c r="B131" t="s">
        <v>7</v>
      </c>
      <c r="C131" t="s">
        <v>38</v>
      </c>
      <c r="D131">
        <v>20000</v>
      </c>
    </row>
    <row r="132" spans="1:4" x14ac:dyDescent="0.3">
      <c r="A132" t="s">
        <v>6</v>
      </c>
      <c r="B132" t="s">
        <v>7</v>
      </c>
      <c r="C132" t="s">
        <v>43</v>
      </c>
      <c r="D132">
        <v>20000</v>
      </c>
    </row>
    <row r="133" spans="1:4" x14ac:dyDescent="0.3">
      <c r="A133" t="s">
        <v>6</v>
      </c>
      <c r="B133" t="s">
        <v>7</v>
      </c>
      <c r="C133" t="s">
        <v>72</v>
      </c>
      <c r="D133">
        <v>20000</v>
      </c>
    </row>
    <row r="134" spans="1:4" x14ac:dyDescent="0.3">
      <c r="A134" t="s">
        <v>6</v>
      </c>
      <c r="B134" t="s">
        <v>7</v>
      </c>
      <c r="C134" t="s">
        <v>77</v>
      </c>
      <c r="D134">
        <v>20000</v>
      </c>
    </row>
    <row r="135" spans="1:4" x14ac:dyDescent="0.3">
      <c r="A135" t="s">
        <v>6</v>
      </c>
      <c r="B135" t="s">
        <v>7</v>
      </c>
      <c r="C135" t="s">
        <v>85</v>
      </c>
      <c r="D135">
        <v>20000</v>
      </c>
    </row>
    <row r="136" spans="1:4" x14ac:dyDescent="0.3">
      <c r="A136" t="s">
        <v>6</v>
      </c>
      <c r="B136" t="s">
        <v>7</v>
      </c>
      <c r="C136" t="s">
        <v>92</v>
      </c>
      <c r="D136">
        <v>20000</v>
      </c>
    </row>
    <row r="137" spans="1:4" x14ac:dyDescent="0.3">
      <c r="A137" t="s">
        <v>6</v>
      </c>
      <c r="B137" t="s">
        <v>7</v>
      </c>
      <c r="C137" t="s">
        <v>125</v>
      </c>
      <c r="D137">
        <v>20000</v>
      </c>
    </row>
    <row r="138" spans="1:4" x14ac:dyDescent="0.3">
      <c r="A138" t="s">
        <v>6</v>
      </c>
      <c r="B138" t="s">
        <v>7</v>
      </c>
      <c r="C138" t="s">
        <v>128</v>
      </c>
      <c r="D138">
        <v>20000</v>
      </c>
    </row>
    <row r="139" spans="1:4" x14ac:dyDescent="0.3">
      <c r="A139" t="s">
        <v>6</v>
      </c>
      <c r="B139" t="s">
        <v>7</v>
      </c>
      <c r="C139" t="s">
        <v>137</v>
      </c>
      <c r="D139">
        <v>20000</v>
      </c>
    </row>
    <row r="140" spans="1:4" x14ac:dyDescent="0.3">
      <c r="A140" t="s">
        <v>6</v>
      </c>
      <c r="B140" t="s">
        <v>7</v>
      </c>
      <c r="C140" t="s">
        <v>154</v>
      </c>
      <c r="D140">
        <v>20000</v>
      </c>
    </row>
    <row r="141" spans="1:4" x14ac:dyDescent="0.3">
      <c r="A141" t="s">
        <v>6</v>
      </c>
      <c r="B141" t="s">
        <v>9</v>
      </c>
      <c r="C141" t="s">
        <v>10</v>
      </c>
      <c r="D141">
        <v>20000</v>
      </c>
    </row>
    <row r="142" spans="1:4" x14ac:dyDescent="0.3">
      <c r="A142" t="s">
        <v>6</v>
      </c>
      <c r="B142" t="s">
        <v>9</v>
      </c>
      <c r="C142" t="s">
        <v>20</v>
      </c>
      <c r="D142">
        <v>20000</v>
      </c>
    </row>
    <row r="143" spans="1:4" x14ac:dyDescent="0.3">
      <c r="A143" t="s">
        <v>6</v>
      </c>
      <c r="B143" t="s">
        <v>9</v>
      </c>
      <c r="C143" t="s">
        <v>21</v>
      </c>
      <c r="D143">
        <v>20000</v>
      </c>
    </row>
    <row r="144" spans="1:4" x14ac:dyDescent="0.3">
      <c r="A144" t="s">
        <v>6</v>
      </c>
      <c r="B144" t="s">
        <v>9</v>
      </c>
      <c r="C144" t="s">
        <v>22</v>
      </c>
      <c r="D144">
        <v>20000</v>
      </c>
    </row>
    <row r="145" spans="1:4" x14ac:dyDescent="0.3">
      <c r="A145" t="s">
        <v>6</v>
      </c>
      <c r="B145" t="s">
        <v>9</v>
      </c>
      <c r="C145" t="s">
        <v>25</v>
      </c>
      <c r="D145">
        <v>20000</v>
      </c>
    </row>
    <row r="146" spans="1:4" x14ac:dyDescent="0.3">
      <c r="A146" t="s">
        <v>6</v>
      </c>
      <c r="B146" t="s">
        <v>9</v>
      </c>
      <c r="C146" t="s">
        <v>30</v>
      </c>
      <c r="D146">
        <v>20000</v>
      </c>
    </row>
    <row r="147" spans="1:4" x14ac:dyDescent="0.3">
      <c r="A147" t="s">
        <v>6</v>
      </c>
      <c r="B147" t="s">
        <v>9</v>
      </c>
      <c r="C147" t="s">
        <v>36</v>
      </c>
      <c r="D147">
        <v>20000</v>
      </c>
    </row>
    <row r="148" spans="1:4" x14ac:dyDescent="0.3">
      <c r="A148" t="s">
        <v>6</v>
      </c>
      <c r="B148" t="s">
        <v>9</v>
      </c>
      <c r="C148" t="s">
        <v>39</v>
      </c>
      <c r="D148">
        <v>20000</v>
      </c>
    </row>
    <row r="149" spans="1:4" x14ac:dyDescent="0.3">
      <c r="A149" t="s">
        <v>6</v>
      </c>
      <c r="B149" t="s">
        <v>9</v>
      </c>
      <c r="C149" t="s">
        <v>45</v>
      </c>
      <c r="D149">
        <v>20000</v>
      </c>
    </row>
    <row r="150" spans="1:4" x14ac:dyDescent="0.3">
      <c r="A150" t="s">
        <v>6</v>
      </c>
      <c r="B150" t="s">
        <v>9</v>
      </c>
      <c r="C150" t="s">
        <v>46</v>
      </c>
      <c r="D150">
        <v>20000</v>
      </c>
    </row>
    <row r="151" spans="1:4" x14ac:dyDescent="0.3">
      <c r="A151" t="s">
        <v>6</v>
      </c>
      <c r="B151" t="s">
        <v>9</v>
      </c>
      <c r="C151" t="s">
        <v>47</v>
      </c>
      <c r="D151">
        <v>20000</v>
      </c>
    </row>
    <row r="152" spans="1:4" x14ac:dyDescent="0.3">
      <c r="A152" t="s">
        <v>6</v>
      </c>
      <c r="B152" t="s">
        <v>9</v>
      </c>
      <c r="C152" t="s">
        <v>50</v>
      </c>
      <c r="D152">
        <v>20000</v>
      </c>
    </row>
    <row r="153" spans="1:4" x14ac:dyDescent="0.3">
      <c r="A153" t="s">
        <v>6</v>
      </c>
      <c r="B153" t="s">
        <v>9</v>
      </c>
      <c r="C153" t="s">
        <v>62</v>
      </c>
      <c r="D153">
        <v>20000</v>
      </c>
    </row>
    <row r="154" spans="1:4" x14ac:dyDescent="0.3">
      <c r="A154" t="s">
        <v>6</v>
      </c>
      <c r="B154" t="s">
        <v>9</v>
      </c>
      <c r="C154" t="s">
        <v>73</v>
      </c>
      <c r="D154">
        <v>20000</v>
      </c>
    </row>
    <row r="155" spans="1:4" x14ac:dyDescent="0.3">
      <c r="A155" t="s">
        <v>6</v>
      </c>
      <c r="B155" t="s">
        <v>9</v>
      </c>
      <c r="C155" t="s">
        <v>78</v>
      </c>
      <c r="D155">
        <v>20000</v>
      </c>
    </row>
    <row r="156" spans="1:4" x14ac:dyDescent="0.3">
      <c r="A156" t="s">
        <v>6</v>
      </c>
      <c r="B156" t="s">
        <v>12</v>
      </c>
      <c r="C156" t="s">
        <v>13</v>
      </c>
      <c r="D156">
        <v>20000</v>
      </c>
    </row>
    <row r="157" spans="1:4" x14ac:dyDescent="0.3">
      <c r="A157" t="s">
        <v>26</v>
      </c>
      <c r="B157" t="s">
        <v>101</v>
      </c>
      <c r="C157" t="s">
        <v>61</v>
      </c>
      <c r="D157">
        <v>20000</v>
      </c>
    </row>
    <row r="158" spans="1:4" x14ac:dyDescent="0.3">
      <c r="A158" t="s">
        <v>26</v>
      </c>
      <c r="B158" t="s">
        <v>101</v>
      </c>
      <c r="C158" t="s">
        <v>59</v>
      </c>
      <c r="D158">
        <v>20000</v>
      </c>
    </row>
    <row r="159" spans="1:4" x14ac:dyDescent="0.3">
      <c r="A159" t="s">
        <v>26</v>
      </c>
      <c r="B159" t="s">
        <v>101</v>
      </c>
      <c r="C159" t="s">
        <v>58</v>
      </c>
      <c r="D159">
        <v>20000</v>
      </c>
    </row>
    <row r="160" spans="1:4" x14ac:dyDescent="0.3">
      <c r="A160" t="s">
        <v>26</v>
      </c>
      <c r="B160" t="s">
        <v>101</v>
      </c>
      <c r="C160" t="s">
        <v>71</v>
      </c>
      <c r="D160">
        <v>20000</v>
      </c>
    </row>
    <row r="161" spans="1:4" x14ac:dyDescent="0.3">
      <c r="A161" t="s">
        <v>26</v>
      </c>
      <c r="B161" t="s">
        <v>101</v>
      </c>
      <c r="C161" t="s">
        <v>113</v>
      </c>
      <c r="D161">
        <v>20000</v>
      </c>
    </row>
    <row r="162" spans="1:4" x14ac:dyDescent="0.3">
      <c r="A162" t="s">
        <v>26</v>
      </c>
      <c r="B162" t="s">
        <v>101</v>
      </c>
      <c r="C162" t="s">
        <v>44</v>
      </c>
      <c r="D162">
        <v>20000</v>
      </c>
    </row>
    <row r="163" spans="1:4" x14ac:dyDescent="0.3">
      <c r="A163" t="s">
        <v>26</v>
      </c>
      <c r="B163" t="s">
        <v>16</v>
      </c>
      <c r="C163" t="s">
        <v>113</v>
      </c>
      <c r="D163">
        <v>20000</v>
      </c>
    </row>
    <row r="164" spans="1:4" x14ac:dyDescent="0.3">
      <c r="A164" t="s">
        <v>26</v>
      </c>
      <c r="B164" t="s">
        <v>16</v>
      </c>
      <c r="C164" t="s">
        <v>71</v>
      </c>
      <c r="D164">
        <v>20000</v>
      </c>
    </row>
    <row r="165" spans="1:4" x14ac:dyDescent="0.3">
      <c r="A165" t="s">
        <v>26</v>
      </c>
      <c r="B165" t="s">
        <v>16</v>
      </c>
      <c r="C165" t="s">
        <v>58</v>
      </c>
      <c r="D165">
        <v>20000</v>
      </c>
    </row>
    <row r="166" spans="1:4" x14ac:dyDescent="0.3">
      <c r="A166" t="s">
        <v>26</v>
      </c>
      <c r="B166" t="s">
        <v>16</v>
      </c>
      <c r="C166" t="s">
        <v>59</v>
      </c>
      <c r="D166">
        <v>20000</v>
      </c>
    </row>
    <row r="167" spans="1:4" x14ac:dyDescent="0.3">
      <c r="A167" t="s">
        <v>26</v>
      </c>
      <c r="B167" t="s">
        <v>16</v>
      </c>
      <c r="C167" t="s">
        <v>44</v>
      </c>
      <c r="D167">
        <v>20000</v>
      </c>
    </row>
    <row r="168" spans="1:4" x14ac:dyDescent="0.3">
      <c r="A168" t="s">
        <v>26</v>
      </c>
      <c r="B168" t="s">
        <v>16</v>
      </c>
      <c r="C168" t="s">
        <v>61</v>
      </c>
      <c r="D168">
        <v>20000</v>
      </c>
    </row>
    <row r="169" spans="1:4" x14ac:dyDescent="0.3">
      <c r="A169" t="s">
        <v>26</v>
      </c>
      <c r="B169" t="s">
        <v>16</v>
      </c>
      <c r="C169" t="s">
        <v>153</v>
      </c>
      <c r="D169">
        <v>20000</v>
      </c>
    </row>
    <row r="170" spans="1:4" x14ac:dyDescent="0.3">
      <c r="A170" t="s">
        <v>26</v>
      </c>
      <c r="B170" t="s">
        <v>4</v>
      </c>
      <c r="C170" t="s">
        <v>68</v>
      </c>
      <c r="D170">
        <v>20000</v>
      </c>
    </row>
    <row r="171" spans="1:4" x14ac:dyDescent="0.3">
      <c r="A171" t="s">
        <v>26</v>
      </c>
      <c r="B171" t="s">
        <v>4</v>
      </c>
      <c r="C171" t="s">
        <v>69</v>
      </c>
      <c r="D171">
        <v>20000</v>
      </c>
    </row>
    <row r="172" spans="1:4" x14ac:dyDescent="0.3">
      <c r="A172" t="s">
        <v>26</v>
      </c>
      <c r="B172" t="s">
        <v>4</v>
      </c>
      <c r="C172" t="s">
        <v>52</v>
      </c>
      <c r="D172">
        <v>20000</v>
      </c>
    </row>
    <row r="173" spans="1:4" x14ac:dyDescent="0.3">
      <c r="A173" t="s">
        <v>26</v>
      </c>
      <c r="B173" t="s">
        <v>4</v>
      </c>
      <c r="C173" t="s">
        <v>131</v>
      </c>
      <c r="D173">
        <v>20000</v>
      </c>
    </row>
    <row r="174" spans="1:4" x14ac:dyDescent="0.3">
      <c r="A174" t="s">
        <v>26</v>
      </c>
      <c r="B174" t="s">
        <v>4</v>
      </c>
      <c r="C174" t="s">
        <v>132</v>
      </c>
      <c r="D174">
        <v>20000</v>
      </c>
    </row>
    <row r="175" spans="1:4" x14ac:dyDescent="0.3">
      <c r="A175" t="s">
        <v>26</v>
      </c>
      <c r="B175" t="s">
        <v>4</v>
      </c>
      <c r="C175" t="s">
        <v>133</v>
      </c>
      <c r="D175">
        <v>20000</v>
      </c>
    </row>
    <row r="176" spans="1:4" x14ac:dyDescent="0.3">
      <c r="A176" t="s">
        <v>26</v>
      </c>
      <c r="B176" t="s">
        <v>4</v>
      </c>
      <c r="C176" t="s">
        <v>138</v>
      </c>
      <c r="D176">
        <v>20000</v>
      </c>
    </row>
    <row r="177" spans="1:4" x14ac:dyDescent="0.3">
      <c r="A177" t="s">
        <v>26</v>
      </c>
      <c r="B177" t="s">
        <v>4</v>
      </c>
      <c r="C177" t="s">
        <v>75</v>
      </c>
      <c r="D177">
        <v>20000</v>
      </c>
    </row>
    <row r="178" spans="1:4" x14ac:dyDescent="0.3">
      <c r="A178" t="s">
        <v>26</v>
      </c>
      <c r="B178" t="s">
        <v>4</v>
      </c>
      <c r="C178" t="s">
        <v>57</v>
      </c>
      <c r="D178">
        <v>20000</v>
      </c>
    </row>
    <row r="179" spans="1:4" x14ac:dyDescent="0.3">
      <c r="A179" t="s">
        <v>26</v>
      </c>
      <c r="B179" t="s">
        <v>4</v>
      </c>
      <c r="C179" t="s">
        <v>148</v>
      </c>
      <c r="D179">
        <v>20000</v>
      </c>
    </row>
    <row r="180" spans="1:4" x14ac:dyDescent="0.3">
      <c r="A180" t="s">
        <v>26</v>
      </c>
      <c r="B180" t="s">
        <v>4</v>
      </c>
      <c r="C180" t="s">
        <v>44</v>
      </c>
      <c r="D180">
        <v>20000</v>
      </c>
    </row>
    <row r="181" spans="1:4" x14ac:dyDescent="0.3">
      <c r="A181" t="s">
        <v>26</v>
      </c>
      <c r="B181" t="s">
        <v>4</v>
      </c>
      <c r="C181" t="s">
        <v>58</v>
      </c>
      <c r="D181">
        <v>20000</v>
      </c>
    </row>
    <row r="182" spans="1:4" x14ac:dyDescent="0.3">
      <c r="A182" t="s">
        <v>26</v>
      </c>
      <c r="B182" t="s">
        <v>4</v>
      </c>
      <c r="C182" t="s">
        <v>151</v>
      </c>
      <c r="D182">
        <v>20000</v>
      </c>
    </row>
    <row r="183" spans="1:4" x14ac:dyDescent="0.3">
      <c r="A183" t="s">
        <v>26</v>
      </c>
      <c r="B183" t="s">
        <v>4</v>
      </c>
      <c r="C183" t="s">
        <v>59</v>
      </c>
      <c r="D183">
        <v>20000</v>
      </c>
    </row>
    <row r="184" spans="1:4" x14ac:dyDescent="0.3">
      <c r="A184" t="s">
        <v>26</v>
      </c>
      <c r="B184" t="s">
        <v>4</v>
      </c>
      <c r="C184" t="s">
        <v>71</v>
      </c>
      <c r="D184">
        <v>20000</v>
      </c>
    </row>
    <row r="185" spans="1:4" x14ac:dyDescent="0.3">
      <c r="A185" t="s">
        <v>26</v>
      </c>
      <c r="B185" t="s">
        <v>7</v>
      </c>
      <c r="C185" t="s">
        <v>52</v>
      </c>
      <c r="D185">
        <v>20000</v>
      </c>
    </row>
    <row r="186" spans="1:4" x14ac:dyDescent="0.3">
      <c r="A186" t="s">
        <v>26</v>
      </c>
      <c r="B186" t="s">
        <v>7</v>
      </c>
      <c r="C186" t="s">
        <v>53</v>
      </c>
      <c r="D186">
        <v>20000</v>
      </c>
    </row>
    <row r="187" spans="1:4" x14ac:dyDescent="0.3">
      <c r="A187" t="s">
        <v>26</v>
      </c>
      <c r="B187" t="s">
        <v>7</v>
      </c>
      <c r="C187" t="s">
        <v>57</v>
      </c>
      <c r="D187">
        <v>20000</v>
      </c>
    </row>
    <row r="188" spans="1:4" x14ac:dyDescent="0.3">
      <c r="A188" t="s">
        <v>26</v>
      </c>
      <c r="B188" t="s">
        <v>7</v>
      </c>
      <c r="C188" t="s">
        <v>65</v>
      </c>
      <c r="D188">
        <v>20000</v>
      </c>
    </row>
    <row r="189" spans="1:4" x14ac:dyDescent="0.3">
      <c r="A189" t="s">
        <v>26</v>
      </c>
      <c r="B189" t="s">
        <v>7</v>
      </c>
      <c r="C189" t="s">
        <v>75</v>
      </c>
      <c r="D189">
        <v>20000</v>
      </c>
    </row>
    <row r="190" spans="1:4" x14ac:dyDescent="0.3">
      <c r="A190" t="s">
        <v>26</v>
      </c>
      <c r="B190" t="s">
        <v>9</v>
      </c>
      <c r="C190" t="s">
        <v>27</v>
      </c>
      <c r="D190">
        <v>20000</v>
      </c>
    </row>
    <row r="191" spans="1:4" x14ac:dyDescent="0.3">
      <c r="A191" t="s">
        <v>26</v>
      </c>
      <c r="B191" t="s">
        <v>9</v>
      </c>
      <c r="C191" t="s">
        <v>44</v>
      </c>
      <c r="D191">
        <v>20000</v>
      </c>
    </row>
    <row r="192" spans="1:4" x14ac:dyDescent="0.3">
      <c r="A192" t="s">
        <v>26</v>
      </c>
      <c r="B192" t="s">
        <v>9</v>
      </c>
      <c r="C192" t="s">
        <v>58</v>
      </c>
      <c r="D192">
        <v>20000</v>
      </c>
    </row>
    <row r="193" spans="1:4" x14ac:dyDescent="0.3">
      <c r="A193" t="s">
        <v>26</v>
      </c>
      <c r="B193" t="s">
        <v>9</v>
      </c>
      <c r="C193" t="s">
        <v>59</v>
      </c>
      <c r="D193">
        <v>20000</v>
      </c>
    </row>
    <row r="194" spans="1:4" x14ac:dyDescent="0.3">
      <c r="A194" t="s">
        <v>26</v>
      </c>
      <c r="B194" t="s">
        <v>9</v>
      </c>
      <c r="C194" t="s">
        <v>61</v>
      </c>
      <c r="D194">
        <v>20000</v>
      </c>
    </row>
    <row r="195" spans="1:4" x14ac:dyDescent="0.3">
      <c r="A195" t="s">
        <v>26</v>
      </c>
      <c r="B195" t="s">
        <v>9</v>
      </c>
      <c r="C195" t="s">
        <v>71</v>
      </c>
      <c r="D195">
        <v>20000</v>
      </c>
    </row>
    <row r="196" spans="1:4" x14ac:dyDescent="0.3">
      <c r="A196" t="s">
        <v>26</v>
      </c>
      <c r="B196" t="s">
        <v>12</v>
      </c>
      <c r="C196" t="s">
        <v>28</v>
      </c>
      <c r="D196">
        <v>20000</v>
      </c>
    </row>
  </sheetData>
  <autoFilter ref="A1:Q34314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DE98-5618-4973-9FA8-F2E5E91F5231}">
  <dimension ref="A1:W217"/>
  <sheetViews>
    <sheetView tabSelected="1" zoomScale="85" zoomScaleNormal="85" workbookViewId="0">
      <selection activeCell="D34" sqref="D34"/>
    </sheetView>
  </sheetViews>
  <sheetFormatPr defaultRowHeight="16.5" x14ac:dyDescent="0.3"/>
  <cols>
    <col min="1" max="1" width="20.375" customWidth="1"/>
    <col min="2" max="2" width="26.5" bestFit="1" customWidth="1"/>
    <col min="3" max="3" width="36.5" customWidth="1"/>
    <col min="4" max="4" width="47.5" customWidth="1"/>
    <col min="5" max="5" width="23" customWidth="1"/>
    <col min="6" max="6" width="3.375" customWidth="1"/>
    <col min="7" max="7" width="12.25" customWidth="1"/>
    <col min="9" max="9" width="24.875" customWidth="1"/>
  </cols>
  <sheetData>
    <row r="1" spans="1:23" ht="17.25" customHeight="1" x14ac:dyDescent="0.3">
      <c r="A1" s="21" t="s">
        <v>0</v>
      </c>
      <c r="B1" s="21" t="s">
        <v>1</v>
      </c>
      <c r="C1" s="21" t="s">
        <v>206</v>
      </c>
      <c r="D1" s="21"/>
      <c r="E1" s="22" t="s">
        <v>155</v>
      </c>
      <c r="G1" s="19" t="s">
        <v>301</v>
      </c>
      <c r="H1" s="19" t="s">
        <v>300</v>
      </c>
      <c r="I1" s="30" t="s">
        <v>302</v>
      </c>
      <c r="J1" s="23" t="s">
        <v>289</v>
      </c>
      <c r="K1" s="27" t="s">
        <v>283</v>
      </c>
      <c r="L1" s="28" t="s">
        <v>284</v>
      </c>
      <c r="M1" s="17"/>
      <c r="N1" s="18"/>
      <c r="O1" s="23" t="s">
        <v>285</v>
      </c>
      <c r="P1" s="28" t="s">
        <v>286</v>
      </c>
      <c r="Q1" s="29"/>
      <c r="R1" s="25" t="s">
        <v>287</v>
      </c>
      <c r="S1" s="16" t="s">
        <v>288</v>
      </c>
      <c r="T1" s="17"/>
      <c r="U1" s="17"/>
      <c r="V1" s="17"/>
      <c r="W1" s="18"/>
    </row>
    <row r="2" spans="1:23" x14ac:dyDescent="0.3">
      <c r="A2" s="21"/>
      <c r="B2" s="21"/>
      <c r="C2" s="21"/>
      <c r="D2" s="21"/>
      <c r="E2" s="22"/>
      <c r="G2" s="20"/>
      <c r="H2" s="20"/>
      <c r="I2" s="30"/>
      <c r="J2" s="24"/>
      <c r="K2" s="24"/>
      <c r="L2" s="4" t="s">
        <v>290</v>
      </c>
      <c r="M2" s="4" t="s">
        <v>291</v>
      </c>
      <c r="N2" s="4" t="s">
        <v>292</v>
      </c>
      <c r="O2" s="24"/>
      <c r="P2" s="5" t="s">
        <v>293</v>
      </c>
      <c r="Q2" s="6" t="s">
        <v>294</v>
      </c>
      <c r="R2" s="26"/>
      <c r="S2" s="6" t="s">
        <v>295</v>
      </c>
      <c r="T2" s="7" t="s">
        <v>296</v>
      </c>
      <c r="U2" s="3" t="s">
        <v>297</v>
      </c>
      <c r="V2" s="7" t="s">
        <v>298</v>
      </c>
      <c r="W2" s="3" t="s">
        <v>299</v>
      </c>
    </row>
    <row r="3" spans="1:23" x14ac:dyDescent="0.3">
      <c r="A3" t="s">
        <v>3</v>
      </c>
      <c r="B3" t="s">
        <v>16</v>
      </c>
      <c r="C3" t="s">
        <v>118</v>
      </c>
      <c r="D3" t="str">
        <f>A3&amp;" "&amp;B3&amp;" "&amp;C3</f>
        <v>A관(1공장) [10] 사출조립 조립1호기</v>
      </c>
      <c r="E3">
        <f t="shared" ref="E3:E63" si="0">ROUNDUP(24*60*60/H3*G3,0)</f>
        <v>43200</v>
      </c>
      <c r="G3" s="15">
        <v>8</v>
      </c>
      <c r="H3" s="15">
        <v>16</v>
      </c>
      <c r="J3">
        <f>ROUNDDOWN(3600/H3*G3,0)</f>
        <v>1800</v>
      </c>
      <c r="K3">
        <v>0</v>
      </c>
      <c r="L3" s="9">
        <f>24-K3</f>
        <v>24</v>
      </c>
      <c r="M3">
        <v>0</v>
      </c>
      <c r="N3" s="10">
        <f>L3-M3</f>
        <v>24</v>
      </c>
      <c r="O3" s="8">
        <f>L3*J3</f>
        <v>43200</v>
      </c>
      <c r="P3">
        <v>0</v>
      </c>
      <c r="Q3">
        <v>46080</v>
      </c>
      <c r="R3">
        <f>P3+Q3</f>
        <v>46080</v>
      </c>
      <c r="S3" s="11">
        <f t="shared" ref="S3" si="1">IFERROR(N3/L3,"")</f>
        <v>1</v>
      </c>
      <c r="T3" s="12">
        <f t="shared" ref="T3" si="2">IFERROR(R3/(N3*J3),"")</f>
        <v>1.0666666666666667</v>
      </c>
      <c r="U3" s="12">
        <f>IFERROR(S3*T3,"")</f>
        <v>1.0666666666666667</v>
      </c>
      <c r="V3" s="13">
        <f t="shared" ref="V3" si="3">IFERROR(Q3/R3,"")</f>
        <v>1</v>
      </c>
      <c r="W3" s="14">
        <f>IFERROR(U3*V3,"")</f>
        <v>1.0666666666666667</v>
      </c>
    </row>
    <row r="4" spans="1:23" x14ac:dyDescent="0.3">
      <c r="A4" t="s">
        <v>3</v>
      </c>
      <c r="B4" t="s">
        <v>16</v>
      </c>
      <c r="C4" t="s">
        <v>119</v>
      </c>
      <c r="D4" t="str">
        <f t="shared" ref="D4:D67" si="4">A4&amp;" "&amp;B4&amp;" "&amp;C4</f>
        <v>A관(1공장) [10] 사출조립 조립2호기</v>
      </c>
      <c r="E4">
        <f t="shared" si="0"/>
        <v>43200</v>
      </c>
      <c r="G4" s="15">
        <v>8</v>
      </c>
      <c r="H4" s="15">
        <v>16</v>
      </c>
    </row>
    <row r="5" spans="1:23" x14ac:dyDescent="0.3">
      <c r="A5" t="s">
        <v>3</v>
      </c>
      <c r="B5" t="s">
        <v>16</v>
      </c>
      <c r="C5" t="s">
        <v>136</v>
      </c>
      <c r="D5" t="str">
        <f t="shared" si="4"/>
        <v>A관(1공장) [10] 사출조립 조립3호기</v>
      </c>
      <c r="E5">
        <f t="shared" si="0"/>
        <v>43200</v>
      </c>
      <c r="G5" s="15">
        <v>8</v>
      </c>
      <c r="H5" s="15">
        <v>16</v>
      </c>
    </row>
    <row r="6" spans="1:23" x14ac:dyDescent="0.3">
      <c r="A6" t="s">
        <v>3</v>
      </c>
      <c r="B6" t="s">
        <v>16</v>
      </c>
      <c r="C6" t="s">
        <v>31</v>
      </c>
      <c r="D6" t="str">
        <f t="shared" si="4"/>
        <v>A관(1공장) [10] 사출조립 조립4호기</v>
      </c>
      <c r="E6">
        <f t="shared" si="0"/>
        <v>43200</v>
      </c>
      <c r="G6" s="15">
        <v>8</v>
      </c>
      <c r="H6" s="15">
        <v>16</v>
      </c>
    </row>
    <row r="7" spans="1:23" x14ac:dyDescent="0.3">
      <c r="A7" t="s">
        <v>3</v>
      </c>
      <c r="B7" t="s">
        <v>16</v>
      </c>
      <c r="C7" t="s">
        <v>105</v>
      </c>
      <c r="D7" t="str">
        <f t="shared" si="4"/>
        <v>A관(1공장) [10] 사출조립 조립5호기</v>
      </c>
      <c r="E7">
        <f t="shared" si="0"/>
        <v>43200</v>
      </c>
      <c r="G7" s="15">
        <v>8</v>
      </c>
      <c r="H7" s="15">
        <v>16</v>
      </c>
    </row>
    <row r="8" spans="1:23" x14ac:dyDescent="0.3">
      <c r="A8" t="s">
        <v>3</v>
      </c>
      <c r="B8" t="s">
        <v>16</v>
      </c>
      <c r="C8" t="s">
        <v>100</v>
      </c>
      <c r="D8" t="str">
        <f t="shared" si="4"/>
        <v>A관(1공장) [10] 사출조립 조립6호기</v>
      </c>
      <c r="E8">
        <f t="shared" si="0"/>
        <v>43200</v>
      </c>
      <c r="G8" s="15">
        <v>8</v>
      </c>
      <c r="H8" s="15">
        <v>16</v>
      </c>
    </row>
    <row r="9" spans="1:23" x14ac:dyDescent="0.3">
      <c r="A9" t="s">
        <v>3</v>
      </c>
      <c r="B9" t="s">
        <v>16</v>
      </c>
      <c r="C9" t="s">
        <v>32</v>
      </c>
      <c r="D9" t="str">
        <f t="shared" si="4"/>
        <v>A관(1공장) [10] 사출조립 조립7호기</v>
      </c>
      <c r="E9">
        <f t="shared" si="0"/>
        <v>43200</v>
      </c>
      <c r="G9" s="15">
        <v>8</v>
      </c>
      <c r="H9" s="15">
        <v>16</v>
      </c>
    </row>
    <row r="10" spans="1:23" x14ac:dyDescent="0.3">
      <c r="A10" t="s">
        <v>3</v>
      </c>
      <c r="B10" t="s">
        <v>16</v>
      </c>
      <c r="C10" t="s">
        <v>116</v>
      </c>
      <c r="D10" t="str">
        <f t="shared" si="4"/>
        <v>A관(1공장) [10] 사출조립 조립8호기</v>
      </c>
      <c r="E10">
        <f t="shared" si="0"/>
        <v>43200</v>
      </c>
      <c r="G10" s="15">
        <v>8</v>
      </c>
      <c r="H10" s="15">
        <v>16</v>
      </c>
    </row>
    <row r="11" spans="1:23" x14ac:dyDescent="0.3">
      <c r="A11" t="s">
        <v>3</v>
      </c>
      <c r="B11" t="s">
        <v>16</v>
      </c>
      <c r="C11" t="s">
        <v>156</v>
      </c>
      <c r="D11" t="str">
        <f t="shared" si="4"/>
        <v>A관(1공장) [10] 사출조립 조립30호기</v>
      </c>
      <c r="E11">
        <f t="shared" si="0"/>
        <v>86400</v>
      </c>
      <c r="G11" s="15">
        <v>16</v>
      </c>
      <c r="H11" s="15">
        <v>16</v>
      </c>
    </row>
    <row r="12" spans="1:23" x14ac:dyDescent="0.3">
      <c r="A12" t="s">
        <v>3</v>
      </c>
      <c r="B12" t="s">
        <v>16</v>
      </c>
      <c r="C12" t="s">
        <v>109</v>
      </c>
      <c r="D12" t="str">
        <f t="shared" si="4"/>
        <v>A관(1공장) [10] 사출조립 조립31호기</v>
      </c>
      <c r="E12">
        <f t="shared" si="0"/>
        <v>86400</v>
      </c>
      <c r="G12" s="15">
        <v>16</v>
      </c>
      <c r="H12" s="15">
        <v>16</v>
      </c>
    </row>
    <row r="13" spans="1:23" x14ac:dyDescent="0.3">
      <c r="A13" t="s">
        <v>3</v>
      </c>
      <c r="B13" t="s">
        <v>16</v>
      </c>
      <c r="C13" t="s">
        <v>157</v>
      </c>
      <c r="D13" t="str">
        <f t="shared" si="4"/>
        <v>A관(1공장) [10] 사출조립 조립32호기</v>
      </c>
      <c r="E13">
        <f t="shared" si="0"/>
        <v>86400</v>
      </c>
      <c r="G13" s="15">
        <v>16</v>
      </c>
      <c r="H13" s="15">
        <v>16</v>
      </c>
    </row>
    <row r="14" spans="1:23" x14ac:dyDescent="0.3">
      <c r="A14" t="s">
        <v>3</v>
      </c>
      <c r="B14" t="s">
        <v>16</v>
      </c>
      <c r="C14" t="s">
        <v>158</v>
      </c>
      <c r="D14" t="str">
        <f t="shared" si="4"/>
        <v>A관(1공장) [10] 사출조립 조립33호기</v>
      </c>
      <c r="E14">
        <f t="shared" si="0"/>
        <v>86400</v>
      </c>
      <c r="G14" s="15">
        <v>16</v>
      </c>
      <c r="H14" s="15">
        <v>16</v>
      </c>
    </row>
    <row r="15" spans="1:23" x14ac:dyDescent="0.3">
      <c r="A15" t="s">
        <v>3</v>
      </c>
      <c r="B15" t="s">
        <v>4</v>
      </c>
      <c r="C15" t="s">
        <v>5</v>
      </c>
      <c r="D15" t="str">
        <f t="shared" si="4"/>
        <v>A관(1공장) [20] 분리 분리3호기</v>
      </c>
      <c r="E15">
        <f t="shared" si="0"/>
        <v>17280</v>
      </c>
      <c r="G15" s="15">
        <v>1</v>
      </c>
      <c r="H15" s="15">
        <v>5</v>
      </c>
    </row>
    <row r="16" spans="1:23" x14ac:dyDescent="0.3">
      <c r="A16" t="s">
        <v>3</v>
      </c>
      <c r="B16" t="s">
        <v>4</v>
      </c>
      <c r="C16" t="s">
        <v>18</v>
      </c>
      <c r="D16" t="str">
        <f t="shared" si="4"/>
        <v>A관(1공장) [20] 분리 분리4호기</v>
      </c>
      <c r="E16">
        <f t="shared" si="0"/>
        <v>17280</v>
      </c>
      <c r="G16" s="15">
        <v>1</v>
      </c>
      <c r="H16" s="15">
        <v>5</v>
      </c>
    </row>
    <row r="17" spans="1:9" x14ac:dyDescent="0.3">
      <c r="A17" t="s">
        <v>3</v>
      </c>
      <c r="B17" t="s">
        <v>4</v>
      </c>
      <c r="C17" t="s">
        <v>97</v>
      </c>
      <c r="D17" t="str">
        <f t="shared" si="4"/>
        <v>A관(1공장) [20] 분리 분리5호기</v>
      </c>
      <c r="E17">
        <f t="shared" si="0"/>
        <v>17280</v>
      </c>
      <c r="G17" s="15">
        <v>1</v>
      </c>
      <c r="H17" s="15">
        <v>5</v>
      </c>
    </row>
    <row r="18" spans="1:9" x14ac:dyDescent="0.3">
      <c r="A18" t="s">
        <v>3</v>
      </c>
      <c r="B18" t="s">
        <v>4</v>
      </c>
      <c r="C18" t="s">
        <v>124</v>
      </c>
      <c r="D18" t="str">
        <f t="shared" si="4"/>
        <v>A관(1공장) [20] 분리 분리10호기</v>
      </c>
      <c r="E18">
        <f t="shared" si="0"/>
        <v>17280</v>
      </c>
      <c r="G18" s="15">
        <v>1</v>
      </c>
      <c r="H18" s="15">
        <v>5</v>
      </c>
    </row>
    <row r="19" spans="1:9" x14ac:dyDescent="0.3">
      <c r="A19" t="s">
        <v>3</v>
      </c>
      <c r="B19" t="s">
        <v>4</v>
      </c>
      <c r="C19" t="s">
        <v>130</v>
      </c>
      <c r="D19" t="str">
        <f t="shared" si="4"/>
        <v>A관(1공장) [20] 분리 분리11호기</v>
      </c>
      <c r="E19">
        <f t="shared" si="0"/>
        <v>17280</v>
      </c>
      <c r="G19" s="15">
        <v>1</v>
      </c>
      <c r="H19" s="15">
        <v>5</v>
      </c>
    </row>
    <row r="20" spans="1:9" x14ac:dyDescent="0.3">
      <c r="A20" t="s">
        <v>3</v>
      </c>
      <c r="B20" t="s">
        <v>4</v>
      </c>
      <c r="C20" t="s">
        <v>102</v>
      </c>
      <c r="D20" t="str">
        <f t="shared" si="4"/>
        <v>A관(1공장) [20] 분리 분리14호기</v>
      </c>
      <c r="E20">
        <f t="shared" si="0"/>
        <v>54000</v>
      </c>
      <c r="G20" s="15">
        <v>5</v>
      </c>
      <c r="H20" s="15">
        <v>8</v>
      </c>
    </row>
    <row r="21" spans="1:9" x14ac:dyDescent="0.3">
      <c r="A21" t="s">
        <v>3</v>
      </c>
      <c r="B21" t="s">
        <v>4</v>
      </c>
      <c r="C21" t="s">
        <v>202</v>
      </c>
      <c r="D21" t="str">
        <f t="shared" si="4"/>
        <v>A관(1공장) [20] 분리 CAM분리5호기</v>
      </c>
      <c r="E21">
        <f t="shared" si="0"/>
        <v>39273</v>
      </c>
      <c r="G21" s="15">
        <v>5</v>
      </c>
      <c r="H21" s="15">
        <v>11</v>
      </c>
    </row>
    <row r="22" spans="1:9" x14ac:dyDescent="0.3">
      <c r="A22" t="s">
        <v>3</v>
      </c>
      <c r="B22" t="s">
        <v>4</v>
      </c>
      <c r="C22" t="s">
        <v>203</v>
      </c>
      <c r="D22" t="str">
        <f t="shared" si="4"/>
        <v>A관(1공장) [20] 분리 CAM분리6호기</v>
      </c>
      <c r="E22">
        <f t="shared" si="0"/>
        <v>39273</v>
      </c>
      <c r="G22" s="15">
        <v>5</v>
      </c>
      <c r="H22" s="15">
        <v>11</v>
      </c>
    </row>
    <row r="23" spans="1:9" x14ac:dyDescent="0.3">
      <c r="A23" t="s">
        <v>3</v>
      </c>
      <c r="B23" t="s">
        <v>4</v>
      </c>
      <c r="C23" t="s">
        <v>163</v>
      </c>
      <c r="D23" t="str">
        <f t="shared" si="4"/>
        <v>A관(1공장) [20] 분리 분리41호기(초음파)</v>
      </c>
      <c r="E23">
        <f t="shared" si="0"/>
        <v>62837</v>
      </c>
      <c r="G23" s="15">
        <v>8</v>
      </c>
      <c r="H23" s="15">
        <v>11</v>
      </c>
    </row>
    <row r="24" spans="1:9" x14ac:dyDescent="0.3">
      <c r="A24" t="s">
        <v>3</v>
      </c>
      <c r="B24" t="s">
        <v>4</v>
      </c>
      <c r="C24" t="s">
        <v>112</v>
      </c>
      <c r="D24" t="str">
        <f t="shared" si="4"/>
        <v>A관(1공장) [20] 분리 분리42호기(초음파)</v>
      </c>
      <c r="E24">
        <f t="shared" ref="E24" si="5">ROUNDUP(24*60*60/H24*G24,0)</f>
        <v>62837</v>
      </c>
      <c r="G24" s="15">
        <v>8</v>
      </c>
      <c r="H24" s="15">
        <v>11</v>
      </c>
    </row>
    <row r="25" spans="1:9" x14ac:dyDescent="0.3">
      <c r="A25" t="s">
        <v>3</v>
      </c>
      <c r="B25" t="s">
        <v>7</v>
      </c>
      <c r="C25" t="s">
        <v>66</v>
      </c>
      <c r="D25" t="str">
        <f t="shared" si="4"/>
        <v>A관(1공장) [45] 하이드레이션/전면검사 워터배스1-1호기</v>
      </c>
      <c r="E25">
        <f t="shared" si="0"/>
        <v>30000</v>
      </c>
      <c r="G25" s="15">
        <v>5000</v>
      </c>
      <c r="H25" s="15">
        <f t="shared" ref="H25:H30" si="6">60*60*4</f>
        <v>14400</v>
      </c>
      <c r="I25" t="s">
        <v>303</v>
      </c>
    </row>
    <row r="26" spans="1:9" x14ac:dyDescent="0.3">
      <c r="A26" t="s">
        <v>3</v>
      </c>
      <c r="B26" t="s">
        <v>7</v>
      </c>
      <c r="C26" t="s">
        <v>115</v>
      </c>
      <c r="D26" t="str">
        <f t="shared" si="4"/>
        <v>A관(1공장) [45] 하이드레이션/전면검사 워터배스1-2호기</v>
      </c>
      <c r="E26">
        <f t="shared" si="0"/>
        <v>30000</v>
      </c>
      <c r="G26" s="15">
        <v>5000</v>
      </c>
      <c r="H26" s="15">
        <f t="shared" si="6"/>
        <v>14400</v>
      </c>
      <c r="I26" t="s">
        <v>303</v>
      </c>
    </row>
    <row r="27" spans="1:9" x14ac:dyDescent="0.3">
      <c r="A27" t="s">
        <v>3</v>
      </c>
      <c r="B27" t="s">
        <v>7</v>
      </c>
      <c r="C27" t="s">
        <v>11</v>
      </c>
      <c r="D27" t="str">
        <f t="shared" si="4"/>
        <v>A관(1공장) [45] 하이드레이션/전면검사 워터배스1-3호기</v>
      </c>
      <c r="E27">
        <f t="shared" si="0"/>
        <v>30000</v>
      </c>
      <c r="G27" s="15">
        <v>5000</v>
      </c>
      <c r="H27" s="15">
        <f t="shared" si="6"/>
        <v>14400</v>
      </c>
      <c r="I27" t="s">
        <v>303</v>
      </c>
    </row>
    <row r="28" spans="1:9" x14ac:dyDescent="0.3">
      <c r="A28" t="s">
        <v>3</v>
      </c>
      <c r="B28" t="s">
        <v>7</v>
      </c>
      <c r="C28" t="s">
        <v>49</v>
      </c>
      <c r="D28" t="str">
        <f t="shared" si="4"/>
        <v>A관(1공장) [45] 하이드레이션/전면검사 워터배스1-4호기</v>
      </c>
      <c r="E28">
        <f t="shared" si="0"/>
        <v>30000</v>
      </c>
      <c r="G28" s="15">
        <v>5000</v>
      </c>
      <c r="H28" s="15">
        <f t="shared" si="6"/>
        <v>14400</v>
      </c>
      <c r="I28" t="s">
        <v>303</v>
      </c>
    </row>
    <row r="29" spans="1:9" x14ac:dyDescent="0.3">
      <c r="A29" t="s">
        <v>3</v>
      </c>
      <c r="B29" t="s">
        <v>7</v>
      </c>
      <c r="C29" t="s">
        <v>64</v>
      </c>
      <c r="D29" t="str">
        <f t="shared" si="4"/>
        <v>A관(1공장) [45] 하이드레이션/전면검사 워터배스1-5호기</v>
      </c>
      <c r="E29">
        <f t="shared" si="0"/>
        <v>150000</v>
      </c>
      <c r="G29" s="15">
        <v>25000</v>
      </c>
      <c r="H29" s="15">
        <f t="shared" si="6"/>
        <v>14400</v>
      </c>
      <c r="I29" t="s">
        <v>304</v>
      </c>
    </row>
    <row r="30" spans="1:9" x14ac:dyDescent="0.3">
      <c r="A30" t="s">
        <v>3</v>
      </c>
      <c r="B30" t="s">
        <v>7</v>
      </c>
      <c r="C30" t="s">
        <v>80</v>
      </c>
      <c r="D30" t="str">
        <f t="shared" si="4"/>
        <v>A관(1공장) [45] 하이드레이션/전면검사 워터배스1-6호기</v>
      </c>
      <c r="E30">
        <f t="shared" si="0"/>
        <v>150000</v>
      </c>
      <c r="G30" s="15">
        <v>25000</v>
      </c>
      <c r="H30" s="15">
        <f t="shared" si="6"/>
        <v>14400</v>
      </c>
      <c r="I30" t="s">
        <v>304</v>
      </c>
    </row>
    <row r="31" spans="1:9" x14ac:dyDescent="0.3">
      <c r="A31" t="s">
        <v>3</v>
      </c>
      <c r="B31" t="s">
        <v>9</v>
      </c>
      <c r="C31" t="s">
        <v>207</v>
      </c>
      <c r="D31" t="str">
        <f t="shared" si="4"/>
        <v>A관(1공장) [55] 접착/ 멸균 A관 멸균1호기</v>
      </c>
      <c r="E31">
        <f t="shared" si="0"/>
        <v>752000</v>
      </c>
      <c r="G31" s="15">
        <v>47000</v>
      </c>
      <c r="H31" s="15">
        <f>60*90</f>
        <v>5400</v>
      </c>
    </row>
    <row r="32" spans="1:9" x14ac:dyDescent="0.3">
      <c r="A32" t="s">
        <v>3</v>
      </c>
      <c r="B32" t="s">
        <v>9</v>
      </c>
      <c r="C32" t="s">
        <v>139</v>
      </c>
      <c r="D32" t="str">
        <f t="shared" si="4"/>
        <v>A관(1공장) [55] 접착/ 멸균 검사6호기</v>
      </c>
      <c r="E32">
        <f t="shared" si="0"/>
        <v>13293</v>
      </c>
      <c r="G32" s="15">
        <v>1</v>
      </c>
      <c r="H32" s="15">
        <v>6.5</v>
      </c>
    </row>
    <row r="33" spans="1:8" x14ac:dyDescent="0.3">
      <c r="A33" t="s">
        <v>3</v>
      </c>
      <c r="B33" t="s">
        <v>9</v>
      </c>
      <c r="C33" t="s">
        <v>149</v>
      </c>
      <c r="D33" t="str">
        <f t="shared" si="4"/>
        <v>A관(1공장) [55] 접착/ 멸균 검사7호기</v>
      </c>
      <c r="E33">
        <f t="shared" si="0"/>
        <v>13293</v>
      </c>
      <c r="G33" s="15">
        <v>1</v>
      </c>
      <c r="H33" s="15">
        <v>6.5</v>
      </c>
    </row>
    <row r="34" spans="1:8" x14ac:dyDescent="0.3">
      <c r="A34" t="s">
        <v>3</v>
      </c>
      <c r="B34" t="s">
        <v>9</v>
      </c>
      <c r="C34" t="s">
        <v>15</v>
      </c>
      <c r="D34" t="str">
        <f t="shared" si="4"/>
        <v>A관(1공장) [55] 접착/ 멸균 검사8호기</v>
      </c>
      <c r="E34">
        <f t="shared" si="0"/>
        <v>13293</v>
      </c>
      <c r="G34" s="15">
        <v>1</v>
      </c>
      <c r="H34" s="15">
        <v>6.5</v>
      </c>
    </row>
    <row r="35" spans="1:8" x14ac:dyDescent="0.3">
      <c r="A35" t="s">
        <v>3</v>
      </c>
      <c r="B35" t="s">
        <v>9</v>
      </c>
      <c r="C35" t="s">
        <v>134</v>
      </c>
      <c r="D35" t="str">
        <f t="shared" si="4"/>
        <v>A관(1공장) [55] 접착/ 멸균 검사9호기</v>
      </c>
      <c r="E35">
        <f t="shared" si="0"/>
        <v>13293</v>
      </c>
      <c r="G35" s="15">
        <v>1</v>
      </c>
      <c r="H35" s="15">
        <v>6.5</v>
      </c>
    </row>
    <row r="36" spans="1:8" x14ac:dyDescent="0.3">
      <c r="A36" t="s">
        <v>3</v>
      </c>
      <c r="B36" t="s">
        <v>9</v>
      </c>
      <c r="C36" t="s">
        <v>83</v>
      </c>
      <c r="D36" t="str">
        <f t="shared" si="4"/>
        <v>A관(1공장) [55] 접착/ 멸균 검사10호기</v>
      </c>
      <c r="E36">
        <f t="shared" si="0"/>
        <v>13293</v>
      </c>
      <c r="G36" s="15">
        <v>1</v>
      </c>
      <c r="H36" s="15">
        <v>6.5</v>
      </c>
    </row>
    <row r="37" spans="1:8" x14ac:dyDescent="0.3">
      <c r="A37" t="s">
        <v>3</v>
      </c>
      <c r="B37" t="s">
        <v>9</v>
      </c>
      <c r="C37" t="s">
        <v>41</v>
      </c>
      <c r="D37" t="str">
        <f t="shared" si="4"/>
        <v>A관(1공장) [55] 접착/ 멸균 검사11호기</v>
      </c>
      <c r="E37">
        <f t="shared" si="0"/>
        <v>13293</v>
      </c>
      <c r="G37" s="15">
        <v>1</v>
      </c>
      <c r="H37" s="15">
        <v>6.5</v>
      </c>
    </row>
    <row r="38" spans="1:8" x14ac:dyDescent="0.3">
      <c r="A38" t="s">
        <v>3</v>
      </c>
      <c r="B38" t="s">
        <v>9</v>
      </c>
      <c r="C38" t="s">
        <v>19</v>
      </c>
      <c r="D38" t="str">
        <f t="shared" si="4"/>
        <v>A관(1공장) [55] 접착/ 멸균 검사14호기</v>
      </c>
      <c r="E38">
        <f t="shared" si="0"/>
        <v>13293</v>
      </c>
      <c r="G38" s="15">
        <v>1</v>
      </c>
      <c r="H38" s="15">
        <v>6.5</v>
      </c>
    </row>
    <row r="39" spans="1:8" x14ac:dyDescent="0.3">
      <c r="A39" t="s">
        <v>3</v>
      </c>
      <c r="B39" t="s">
        <v>9</v>
      </c>
      <c r="C39" t="s">
        <v>33</v>
      </c>
      <c r="D39" t="str">
        <f t="shared" si="4"/>
        <v>A관(1공장) [55] 접착/ 멸균 검사15호기</v>
      </c>
      <c r="E39">
        <f t="shared" si="0"/>
        <v>13293</v>
      </c>
      <c r="G39" s="15">
        <v>1</v>
      </c>
      <c r="H39" s="15">
        <v>6.5</v>
      </c>
    </row>
    <row r="40" spans="1:8" x14ac:dyDescent="0.3">
      <c r="A40" t="s">
        <v>3</v>
      </c>
      <c r="B40" t="s">
        <v>9</v>
      </c>
      <c r="C40" t="s">
        <v>141</v>
      </c>
      <c r="D40" t="str">
        <f t="shared" si="4"/>
        <v>A관(1공장) [55] 접착/ 멸균 검사16호기</v>
      </c>
      <c r="E40">
        <f t="shared" si="0"/>
        <v>13293</v>
      </c>
      <c r="G40" s="15">
        <v>1</v>
      </c>
      <c r="H40" s="15">
        <v>6.5</v>
      </c>
    </row>
    <row r="41" spans="1:8" x14ac:dyDescent="0.3">
      <c r="A41" t="s">
        <v>3</v>
      </c>
      <c r="B41" t="s">
        <v>9</v>
      </c>
      <c r="C41" t="s">
        <v>81</v>
      </c>
      <c r="D41" t="str">
        <f t="shared" si="4"/>
        <v>A관(1공장) [55] 접착/ 멸균 검사17호기</v>
      </c>
      <c r="E41">
        <f t="shared" si="0"/>
        <v>13293</v>
      </c>
      <c r="G41" s="15">
        <v>1</v>
      </c>
      <c r="H41" s="15">
        <v>6.5</v>
      </c>
    </row>
    <row r="42" spans="1:8" x14ac:dyDescent="0.3">
      <c r="A42" t="s">
        <v>3</v>
      </c>
      <c r="B42" t="s">
        <v>9</v>
      </c>
      <c r="C42" t="s">
        <v>60</v>
      </c>
      <c r="D42" t="str">
        <f t="shared" si="4"/>
        <v>A관(1공장) [55] 접착/ 멸균 검사18호기</v>
      </c>
      <c r="E42">
        <f t="shared" si="0"/>
        <v>13293</v>
      </c>
      <c r="G42" s="15">
        <v>1</v>
      </c>
      <c r="H42" s="15">
        <v>6.5</v>
      </c>
    </row>
    <row r="43" spans="1:8" x14ac:dyDescent="0.3">
      <c r="A43" t="s">
        <v>3</v>
      </c>
      <c r="B43" t="s">
        <v>9</v>
      </c>
      <c r="C43" t="s">
        <v>135</v>
      </c>
      <c r="D43" t="str">
        <f t="shared" si="4"/>
        <v>A관(1공장) [55] 접착/ 멸균 검사19호기</v>
      </c>
      <c r="E43">
        <f t="shared" si="0"/>
        <v>13293</v>
      </c>
      <c r="G43" s="15">
        <v>1</v>
      </c>
      <c r="H43" s="15">
        <v>6.5</v>
      </c>
    </row>
    <row r="44" spans="1:8" x14ac:dyDescent="0.3">
      <c r="A44" t="s">
        <v>3</v>
      </c>
      <c r="B44" t="s">
        <v>9</v>
      </c>
      <c r="C44" t="s">
        <v>88</v>
      </c>
      <c r="D44" t="str">
        <f t="shared" si="4"/>
        <v>A관(1공장) [55] 접착/ 멸균 검사20호기</v>
      </c>
      <c r="E44">
        <f t="shared" si="0"/>
        <v>13293</v>
      </c>
      <c r="G44" s="15">
        <v>1</v>
      </c>
      <c r="H44" s="15">
        <v>6.5</v>
      </c>
    </row>
    <row r="45" spans="1:8" x14ac:dyDescent="0.3">
      <c r="A45" t="s">
        <v>3</v>
      </c>
      <c r="B45" t="s">
        <v>9</v>
      </c>
      <c r="C45" t="s">
        <v>127</v>
      </c>
      <c r="D45" t="str">
        <f t="shared" si="4"/>
        <v>A관(1공장) [55] 접착/ 멸균 검사21호기</v>
      </c>
      <c r="E45">
        <f t="shared" si="0"/>
        <v>13293</v>
      </c>
      <c r="G45" s="15">
        <v>1</v>
      </c>
      <c r="H45" s="15">
        <v>6.5</v>
      </c>
    </row>
    <row r="46" spans="1:8" x14ac:dyDescent="0.3">
      <c r="A46" t="s">
        <v>3</v>
      </c>
      <c r="B46" t="s">
        <v>9</v>
      </c>
      <c r="C46" t="s">
        <v>70</v>
      </c>
      <c r="D46" t="str">
        <f t="shared" si="4"/>
        <v>A관(1공장) [55] 접착/ 멸균 검사22호기</v>
      </c>
      <c r="E46">
        <f t="shared" si="0"/>
        <v>13293</v>
      </c>
      <c r="G46" s="15">
        <v>1</v>
      </c>
      <c r="H46" s="15">
        <v>6.5</v>
      </c>
    </row>
    <row r="47" spans="1:8" x14ac:dyDescent="0.3">
      <c r="A47" t="s">
        <v>3</v>
      </c>
      <c r="B47" t="s">
        <v>9</v>
      </c>
      <c r="C47" t="s">
        <v>63</v>
      </c>
      <c r="D47" t="str">
        <f t="shared" si="4"/>
        <v>A관(1공장) [55] 접착/ 멸균 검사23호기</v>
      </c>
      <c r="E47">
        <f t="shared" si="0"/>
        <v>13293</v>
      </c>
      <c r="G47" s="15">
        <v>1</v>
      </c>
      <c r="H47" s="15">
        <v>6.5</v>
      </c>
    </row>
    <row r="48" spans="1:8" x14ac:dyDescent="0.3">
      <c r="A48" t="s">
        <v>3</v>
      </c>
      <c r="B48" t="s">
        <v>12</v>
      </c>
      <c r="C48" t="s">
        <v>76</v>
      </c>
      <c r="D48" t="str">
        <f t="shared" si="4"/>
        <v>A관(1공장) [80] 누수/규격검사 누수/규격검사(1공장)</v>
      </c>
      <c r="E48">
        <f>G48*H48</f>
        <v>108000</v>
      </c>
      <c r="G48" s="15">
        <v>18000</v>
      </c>
      <c r="H48" s="15">
        <v>6</v>
      </c>
    </row>
    <row r="49" spans="1:8" x14ac:dyDescent="0.3">
      <c r="A49" t="s">
        <v>6</v>
      </c>
      <c r="B49" t="s">
        <v>16</v>
      </c>
      <c r="C49" t="s">
        <v>104</v>
      </c>
      <c r="D49" t="str">
        <f t="shared" si="4"/>
        <v>C관(2공장) [10] 사출조립 조립10호기</v>
      </c>
      <c r="E49">
        <f t="shared" si="0"/>
        <v>43200</v>
      </c>
      <c r="G49" s="15">
        <v>8</v>
      </c>
      <c r="H49" s="15">
        <v>16</v>
      </c>
    </row>
    <row r="50" spans="1:8" x14ac:dyDescent="0.3">
      <c r="A50" t="s">
        <v>6</v>
      </c>
      <c r="B50" t="s">
        <v>16</v>
      </c>
      <c r="C50" t="s">
        <v>111</v>
      </c>
      <c r="D50" t="str">
        <f t="shared" si="4"/>
        <v>C관(2공장) [10] 사출조립 조립11호기</v>
      </c>
      <c r="E50">
        <f t="shared" si="0"/>
        <v>43200</v>
      </c>
      <c r="G50" s="15">
        <v>8</v>
      </c>
      <c r="H50" s="15">
        <v>16</v>
      </c>
    </row>
    <row r="51" spans="1:8" x14ac:dyDescent="0.3">
      <c r="A51" t="s">
        <v>6</v>
      </c>
      <c r="B51" t="s">
        <v>16</v>
      </c>
      <c r="C51" t="s">
        <v>172</v>
      </c>
      <c r="D51" t="str">
        <f t="shared" si="4"/>
        <v>C관(2공장) [10] 사출조립 조립12호기</v>
      </c>
      <c r="E51">
        <f t="shared" si="0"/>
        <v>43200</v>
      </c>
      <c r="G51" s="15">
        <v>8</v>
      </c>
      <c r="H51" s="15">
        <v>16</v>
      </c>
    </row>
    <row r="52" spans="1:8" x14ac:dyDescent="0.3">
      <c r="A52" t="s">
        <v>6</v>
      </c>
      <c r="B52" t="s">
        <v>16</v>
      </c>
      <c r="C52" t="s">
        <v>165</v>
      </c>
      <c r="D52" t="str">
        <f t="shared" si="4"/>
        <v>C관(2공장) [10] 사출조립 조립13호기</v>
      </c>
      <c r="E52">
        <f t="shared" si="0"/>
        <v>43200</v>
      </c>
      <c r="G52" s="15">
        <v>8</v>
      </c>
      <c r="H52" s="15">
        <v>16</v>
      </c>
    </row>
    <row r="53" spans="1:8" x14ac:dyDescent="0.3">
      <c r="A53" t="s">
        <v>6</v>
      </c>
      <c r="B53" t="s">
        <v>16</v>
      </c>
      <c r="C53" t="s">
        <v>166</v>
      </c>
      <c r="D53" t="str">
        <f t="shared" si="4"/>
        <v>C관(2공장) [10] 사출조립 조립14호기</v>
      </c>
      <c r="E53">
        <f t="shared" si="0"/>
        <v>43200</v>
      </c>
      <c r="G53" s="15">
        <v>8</v>
      </c>
      <c r="H53" s="15">
        <v>16</v>
      </c>
    </row>
    <row r="54" spans="1:8" x14ac:dyDescent="0.3">
      <c r="A54" t="s">
        <v>6</v>
      </c>
      <c r="B54" t="s">
        <v>16</v>
      </c>
      <c r="C54" t="s">
        <v>173</v>
      </c>
      <c r="D54" t="str">
        <f t="shared" si="4"/>
        <v>C관(2공장) [10] 사출조립 조립15호기</v>
      </c>
      <c r="E54">
        <f t="shared" si="0"/>
        <v>43200</v>
      </c>
      <c r="G54" s="15">
        <v>8</v>
      </c>
      <c r="H54" s="15">
        <v>16</v>
      </c>
    </row>
    <row r="55" spans="1:8" x14ac:dyDescent="0.3">
      <c r="A55" t="s">
        <v>6</v>
      </c>
      <c r="B55" t="s">
        <v>16</v>
      </c>
      <c r="C55" t="s">
        <v>35</v>
      </c>
      <c r="D55" t="str">
        <f t="shared" si="4"/>
        <v>C관(2공장) [10] 사출조립 조립16호기</v>
      </c>
      <c r="E55">
        <f t="shared" si="0"/>
        <v>43200</v>
      </c>
      <c r="G55" s="15">
        <v>8</v>
      </c>
      <c r="H55" s="15">
        <v>16</v>
      </c>
    </row>
    <row r="56" spans="1:8" x14ac:dyDescent="0.3">
      <c r="A56" t="s">
        <v>6</v>
      </c>
      <c r="B56" t="s">
        <v>16</v>
      </c>
      <c r="C56" t="s">
        <v>150</v>
      </c>
      <c r="D56" t="str">
        <f t="shared" si="4"/>
        <v>C관(2공장) [10] 사출조립 조립17호기</v>
      </c>
      <c r="E56">
        <f t="shared" si="0"/>
        <v>43200</v>
      </c>
      <c r="G56" s="15">
        <v>8</v>
      </c>
      <c r="H56" s="15">
        <v>16</v>
      </c>
    </row>
    <row r="57" spans="1:8" x14ac:dyDescent="0.3">
      <c r="A57" t="s">
        <v>6</v>
      </c>
      <c r="B57" t="s">
        <v>16</v>
      </c>
      <c r="C57" t="s">
        <v>152</v>
      </c>
      <c r="D57" t="str">
        <f t="shared" si="4"/>
        <v>C관(2공장) [10] 사출조립 조립18호기</v>
      </c>
      <c r="E57">
        <f t="shared" si="0"/>
        <v>43200</v>
      </c>
      <c r="G57" s="15">
        <v>8</v>
      </c>
      <c r="H57" s="15">
        <v>16</v>
      </c>
    </row>
    <row r="58" spans="1:8" x14ac:dyDescent="0.3">
      <c r="A58" t="s">
        <v>6</v>
      </c>
      <c r="B58" t="s">
        <v>16</v>
      </c>
      <c r="C58" t="s">
        <v>167</v>
      </c>
      <c r="D58" t="str">
        <f t="shared" si="4"/>
        <v>C관(2공장) [10] 사출조립 조립19호기</v>
      </c>
      <c r="E58">
        <f t="shared" si="0"/>
        <v>43200</v>
      </c>
      <c r="G58" s="15">
        <v>8</v>
      </c>
      <c r="H58" s="15">
        <v>16</v>
      </c>
    </row>
    <row r="59" spans="1:8" x14ac:dyDescent="0.3">
      <c r="A59" t="s">
        <v>6</v>
      </c>
      <c r="B59" t="s">
        <v>16</v>
      </c>
      <c r="C59" t="s">
        <v>168</v>
      </c>
      <c r="D59" t="str">
        <f t="shared" si="4"/>
        <v>C관(2공장) [10] 사출조립 조립20호기</v>
      </c>
      <c r="E59">
        <f t="shared" si="0"/>
        <v>43200</v>
      </c>
      <c r="G59" s="15">
        <v>8</v>
      </c>
      <c r="H59" s="15">
        <v>16</v>
      </c>
    </row>
    <row r="60" spans="1:8" x14ac:dyDescent="0.3">
      <c r="A60" t="s">
        <v>6</v>
      </c>
      <c r="B60" t="s">
        <v>16</v>
      </c>
      <c r="C60" t="s">
        <v>169</v>
      </c>
      <c r="D60" t="str">
        <f t="shared" si="4"/>
        <v>C관(2공장) [10] 사출조립 조립21호기</v>
      </c>
      <c r="E60">
        <f t="shared" si="0"/>
        <v>43200</v>
      </c>
      <c r="G60" s="15">
        <v>8</v>
      </c>
      <c r="H60" s="15">
        <v>16</v>
      </c>
    </row>
    <row r="61" spans="1:8" x14ac:dyDescent="0.3">
      <c r="A61" t="s">
        <v>6</v>
      </c>
      <c r="B61" t="s">
        <v>16</v>
      </c>
      <c r="C61" t="s">
        <v>129</v>
      </c>
      <c r="D61" t="str">
        <f t="shared" si="4"/>
        <v>C관(2공장) [10] 사출조립 조립22호기</v>
      </c>
      <c r="E61">
        <f t="shared" si="0"/>
        <v>43200</v>
      </c>
      <c r="G61" s="15">
        <v>8</v>
      </c>
      <c r="H61" s="15">
        <v>16</v>
      </c>
    </row>
    <row r="62" spans="1:8" x14ac:dyDescent="0.3">
      <c r="A62" t="s">
        <v>6</v>
      </c>
      <c r="B62" t="s">
        <v>16</v>
      </c>
      <c r="C62" t="s">
        <v>170</v>
      </c>
      <c r="D62" t="str">
        <f t="shared" si="4"/>
        <v>C관(2공장) [10] 사출조립 조립23호기</v>
      </c>
      <c r="E62">
        <f t="shared" si="0"/>
        <v>43200</v>
      </c>
      <c r="G62" s="15">
        <v>8</v>
      </c>
      <c r="H62" s="15">
        <v>16</v>
      </c>
    </row>
    <row r="63" spans="1:8" x14ac:dyDescent="0.3">
      <c r="A63" t="s">
        <v>6</v>
      </c>
      <c r="B63" t="s">
        <v>16</v>
      </c>
      <c r="C63" t="s">
        <v>110</v>
      </c>
      <c r="D63" t="str">
        <f t="shared" si="4"/>
        <v>C관(2공장) [10] 사출조립 조립24호기</v>
      </c>
      <c r="E63">
        <f t="shared" si="0"/>
        <v>43200</v>
      </c>
      <c r="G63" s="15">
        <v>8</v>
      </c>
      <c r="H63" s="15">
        <v>16</v>
      </c>
    </row>
    <row r="64" spans="1:8" x14ac:dyDescent="0.3">
      <c r="A64" t="s">
        <v>6</v>
      </c>
      <c r="B64" t="s">
        <v>16</v>
      </c>
      <c r="C64" t="s">
        <v>103</v>
      </c>
      <c r="D64" t="str">
        <f t="shared" si="4"/>
        <v>C관(2공장) [10] 사출조립 조립25호기</v>
      </c>
      <c r="E64">
        <f t="shared" ref="E64:E124" si="7">ROUNDUP(24*60*60/H64*G64,0)</f>
        <v>43200</v>
      </c>
      <c r="G64" s="15">
        <v>8</v>
      </c>
      <c r="H64" s="15">
        <v>16</v>
      </c>
    </row>
    <row r="65" spans="1:8" x14ac:dyDescent="0.3">
      <c r="A65" t="s">
        <v>6</v>
      </c>
      <c r="B65" t="s">
        <v>16</v>
      </c>
      <c r="C65" t="s">
        <v>145</v>
      </c>
      <c r="D65" t="str">
        <f t="shared" si="4"/>
        <v>C관(2공장) [10] 사출조립 조립26호기</v>
      </c>
      <c r="E65">
        <f t="shared" si="7"/>
        <v>43200</v>
      </c>
      <c r="G65" s="15">
        <v>8</v>
      </c>
      <c r="H65" s="15">
        <v>16</v>
      </c>
    </row>
    <row r="66" spans="1:8" x14ac:dyDescent="0.3">
      <c r="A66" t="s">
        <v>6</v>
      </c>
      <c r="B66" t="s">
        <v>16</v>
      </c>
      <c r="C66" t="s">
        <v>84</v>
      </c>
      <c r="D66" t="str">
        <f t="shared" si="4"/>
        <v>C관(2공장) [10] 사출조립 조립27호기</v>
      </c>
      <c r="E66">
        <f t="shared" si="7"/>
        <v>43200</v>
      </c>
      <c r="G66" s="15">
        <v>8</v>
      </c>
      <c r="H66" s="15">
        <v>16</v>
      </c>
    </row>
    <row r="67" spans="1:8" x14ac:dyDescent="0.3">
      <c r="A67" t="s">
        <v>6</v>
      </c>
      <c r="B67" t="s">
        <v>16</v>
      </c>
      <c r="C67" t="s">
        <v>86</v>
      </c>
      <c r="D67" t="str">
        <f t="shared" si="4"/>
        <v>C관(2공장) [10] 사출조립 조립40호기</v>
      </c>
      <c r="E67">
        <f t="shared" si="7"/>
        <v>43200</v>
      </c>
      <c r="G67" s="15">
        <v>8</v>
      </c>
      <c r="H67" s="15">
        <v>16</v>
      </c>
    </row>
    <row r="68" spans="1:8" x14ac:dyDescent="0.3">
      <c r="A68" t="s">
        <v>6</v>
      </c>
      <c r="B68" t="s">
        <v>16</v>
      </c>
      <c r="C68" t="s">
        <v>126</v>
      </c>
      <c r="D68" t="str">
        <f t="shared" ref="D68:D131" si="8">A68&amp;" "&amp;B68&amp;" "&amp;C68</f>
        <v>C관(2공장) [10] 사출조립 조립41호기</v>
      </c>
      <c r="E68">
        <f t="shared" si="7"/>
        <v>43200</v>
      </c>
      <c r="G68" s="15">
        <v>8</v>
      </c>
      <c r="H68" s="15">
        <v>16</v>
      </c>
    </row>
    <row r="69" spans="1:8" x14ac:dyDescent="0.3">
      <c r="A69" t="s">
        <v>6</v>
      </c>
      <c r="B69" t="s">
        <v>16</v>
      </c>
      <c r="C69" t="s">
        <v>123</v>
      </c>
      <c r="D69" t="str">
        <f t="shared" si="8"/>
        <v>C관(2공장) [10] 사출조립 조립42호기</v>
      </c>
      <c r="E69">
        <f t="shared" si="7"/>
        <v>43200</v>
      </c>
      <c r="G69" s="15">
        <v>8</v>
      </c>
      <c r="H69" s="15">
        <v>16</v>
      </c>
    </row>
    <row r="70" spans="1:8" x14ac:dyDescent="0.3">
      <c r="A70" t="s">
        <v>6</v>
      </c>
      <c r="B70" t="s">
        <v>16</v>
      </c>
      <c r="C70" t="s">
        <v>171</v>
      </c>
      <c r="D70" t="str">
        <f t="shared" si="8"/>
        <v>C관(2공장) [10] 사출조립 조립43호기</v>
      </c>
      <c r="E70">
        <f t="shared" si="7"/>
        <v>43200</v>
      </c>
      <c r="G70" s="15">
        <v>8</v>
      </c>
      <c r="H70" s="15">
        <v>16</v>
      </c>
    </row>
    <row r="71" spans="1:8" x14ac:dyDescent="0.3">
      <c r="A71" t="s">
        <v>6</v>
      </c>
      <c r="B71" t="s">
        <v>16</v>
      </c>
      <c r="C71" t="s">
        <v>143</v>
      </c>
      <c r="D71" t="str">
        <f t="shared" si="8"/>
        <v>C관(2공장) [10] 사출조립 조립44호기</v>
      </c>
      <c r="E71">
        <f t="shared" si="7"/>
        <v>43200</v>
      </c>
      <c r="G71" s="15">
        <v>8</v>
      </c>
      <c r="H71" s="15">
        <v>16</v>
      </c>
    </row>
    <row r="72" spans="1:8" x14ac:dyDescent="0.3">
      <c r="A72" t="s">
        <v>6</v>
      </c>
      <c r="B72" t="s">
        <v>16</v>
      </c>
      <c r="C72" t="s">
        <v>114</v>
      </c>
      <c r="D72" t="str">
        <f t="shared" si="8"/>
        <v>C관(2공장) [10] 사출조립 조립45호기</v>
      </c>
      <c r="E72">
        <f t="shared" si="7"/>
        <v>43200</v>
      </c>
      <c r="G72" s="15">
        <v>8</v>
      </c>
      <c r="H72" s="15">
        <v>16</v>
      </c>
    </row>
    <row r="73" spans="1:8" x14ac:dyDescent="0.3">
      <c r="A73" t="s">
        <v>6</v>
      </c>
      <c r="B73" t="s">
        <v>16</v>
      </c>
      <c r="C73" t="s">
        <v>144</v>
      </c>
      <c r="D73" t="str">
        <f t="shared" si="8"/>
        <v>C관(2공장) [10] 사출조립 조립46호기</v>
      </c>
      <c r="E73">
        <f t="shared" si="7"/>
        <v>43200</v>
      </c>
      <c r="G73" s="15">
        <v>8</v>
      </c>
      <c r="H73" s="15">
        <v>16</v>
      </c>
    </row>
    <row r="74" spans="1:8" x14ac:dyDescent="0.3">
      <c r="A74" t="s">
        <v>6</v>
      </c>
      <c r="B74" t="s">
        <v>16</v>
      </c>
      <c r="C74" t="s">
        <v>42</v>
      </c>
      <c r="D74" t="str">
        <f t="shared" si="8"/>
        <v>C관(2공장) [10] 사출조립 조립47호기</v>
      </c>
      <c r="E74">
        <f t="shared" si="7"/>
        <v>43200</v>
      </c>
      <c r="G74" s="15">
        <v>8</v>
      </c>
      <c r="H74" s="15">
        <v>16</v>
      </c>
    </row>
    <row r="75" spans="1:8" x14ac:dyDescent="0.3">
      <c r="A75" t="s">
        <v>6</v>
      </c>
      <c r="B75" t="s">
        <v>16</v>
      </c>
      <c r="C75" t="s">
        <v>17</v>
      </c>
      <c r="D75" t="str">
        <f t="shared" si="8"/>
        <v>C관(2공장) [10] 사출조립 조립48호기</v>
      </c>
      <c r="E75">
        <f t="shared" si="7"/>
        <v>43200</v>
      </c>
      <c r="G75" s="15">
        <v>8</v>
      </c>
      <c r="H75" s="15">
        <v>16</v>
      </c>
    </row>
    <row r="76" spans="1:8" x14ac:dyDescent="0.3">
      <c r="A76" t="s">
        <v>6</v>
      </c>
      <c r="B76" t="s">
        <v>16</v>
      </c>
      <c r="C76" t="s">
        <v>140</v>
      </c>
      <c r="D76" t="str">
        <f t="shared" si="8"/>
        <v>C관(2공장) [10] 사출조립 조립49호기</v>
      </c>
      <c r="E76">
        <f t="shared" si="7"/>
        <v>43200</v>
      </c>
      <c r="G76" s="15">
        <v>8</v>
      </c>
      <c r="H76" s="15">
        <v>16</v>
      </c>
    </row>
    <row r="77" spans="1:8" x14ac:dyDescent="0.3">
      <c r="A77" t="s">
        <v>6</v>
      </c>
      <c r="B77" t="s">
        <v>16</v>
      </c>
      <c r="C77" t="s">
        <v>56</v>
      </c>
      <c r="D77" t="str">
        <f t="shared" si="8"/>
        <v>C관(2공장) [10] 사출조립 조립50호기</v>
      </c>
      <c r="E77">
        <f t="shared" si="7"/>
        <v>43200</v>
      </c>
      <c r="G77" s="15">
        <v>8</v>
      </c>
      <c r="H77" s="15">
        <v>16</v>
      </c>
    </row>
    <row r="78" spans="1:8" x14ac:dyDescent="0.3">
      <c r="A78" t="s">
        <v>6</v>
      </c>
      <c r="B78" t="s">
        <v>16</v>
      </c>
      <c r="C78" t="s">
        <v>142</v>
      </c>
      <c r="D78" t="str">
        <f t="shared" si="8"/>
        <v>C관(2공장) [10] 사출조립 조립51호기</v>
      </c>
      <c r="E78">
        <f t="shared" si="7"/>
        <v>43200</v>
      </c>
      <c r="G78" s="15">
        <v>8</v>
      </c>
      <c r="H78" s="15">
        <v>16</v>
      </c>
    </row>
    <row r="79" spans="1:8" x14ac:dyDescent="0.3">
      <c r="A79" t="s">
        <v>6</v>
      </c>
      <c r="B79" t="s">
        <v>16</v>
      </c>
      <c r="C79" t="s">
        <v>40</v>
      </c>
      <c r="D79" t="str">
        <f t="shared" si="8"/>
        <v>C관(2공장) [10] 사출조립 조립52호기</v>
      </c>
      <c r="E79">
        <f t="shared" si="7"/>
        <v>43200</v>
      </c>
      <c r="G79" s="15">
        <v>8</v>
      </c>
      <c r="H79" s="15">
        <v>16</v>
      </c>
    </row>
    <row r="80" spans="1:8" x14ac:dyDescent="0.3">
      <c r="A80" t="s">
        <v>6</v>
      </c>
      <c r="B80" t="s">
        <v>16</v>
      </c>
      <c r="C80" t="s">
        <v>147</v>
      </c>
      <c r="D80" t="str">
        <f t="shared" si="8"/>
        <v>C관(2공장) [10] 사출조립 조립53호기</v>
      </c>
      <c r="E80">
        <f t="shared" si="7"/>
        <v>43200</v>
      </c>
      <c r="G80" s="15">
        <v>8</v>
      </c>
      <c r="H80" s="15">
        <v>16</v>
      </c>
    </row>
    <row r="81" spans="1:8" x14ac:dyDescent="0.3">
      <c r="A81" t="s">
        <v>6</v>
      </c>
      <c r="B81" t="s">
        <v>16</v>
      </c>
      <c r="C81" t="s">
        <v>106</v>
      </c>
      <c r="D81" t="str">
        <f t="shared" si="8"/>
        <v>C관(2공장) [10] 사출조립 조립54호기</v>
      </c>
      <c r="E81">
        <f t="shared" si="7"/>
        <v>43200</v>
      </c>
      <c r="G81" s="15">
        <v>8</v>
      </c>
      <c r="H81" s="15">
        <v>16</v>
      </c>
    </row>
    <row r="82" spans="1:8" x14ac:dyDescent="0.3">
      <c r="A82" t="s">
        <v>6</v>
      </c>
      <c r="B82" t="s">
        <v>16</v>
      </c>
      <c r="C82" t="s">
        <v>120</v>
      </c>
      <c r="D82" t="str">
        <f t="shared" si="8"/>
        <v>C관(2공장) [10] 사출조립 조립55호기</v>
      </c>
      <c r="E82">
        <f t="shared" si="7"/>
        <v>43200</v>
      </c>
      <c r="G82" s="15">
        <v>8</v>
      </c>
      <c r="H82" s="15">
        <v>16</v>
      </c>
    </row>
    <row r="83" spans="1:8" x14ac:dyDescent="0.3">
      <c r="A83" t="s">
        <v>6</v>
      </c>
      <c r="B83" t="s">
        <v>16</v>
      </c>
      <c r="C83" t="s">
        <v>122</v>
      </c>
      <c r="D83" t="str">
        <f t="shared" si="8"/>
        <v>C관(2공장) [10] 사출조립 조립56호기</v>
      </c>
      <c r="E83">
        <f t="shared" si="7"/>
        <v>43200</v>
      </c>
      <c r="G83" s="15">
        <v>8</v>
      </c>
      <c r="H83" s="15">
        <v>16</v>
      </c>
    </row>
    <row r="84" spans="1:8" x14ac:dyDescent="0.3">
      <c r="A84" t="s">
        <v>6</v>
      </c>
      <c r="B84" t="s">
        <v>16</v>
      </c>
      <c r="C84" t="s">
        <v>146</v>
      </c>
      <c r="D84" t="str">
        <f t="shared" si="8"/>
        <v>C관(2공장) [10] 사출조립 조립57호기</v>
      </c>
      <c r="E84">
        <f t="shared" si="7"/>
        <v>43200</v>
      </c>
      <c r="G84" s="15">
        <v>8</v>
      </c>
      <c r="H84" s="15">
        <v>16</v>
      </c>
    </row>
    <row r="85" spans="1:8" x14ac:dyDescent="0.3">
      <c r="A85" t="s">
        <v>6</v>
      </c>
      <c r="B85" t="s">
        <v>16</v>
      </c>
      <c r="C85" t="s">
        <v>121</v>
      </c>
      <c r="D85" t="str">
        <f t="shared" si="8"/>
        <v>C관(2공장) [10] 사출조립 조립58호기</v>
      </c>
      <c r="E85">
        <f t="shared" si="7"/>
        <v>43200</v>
      </c>
      <c r="G85" s="15">
        <v>8</v>
      </c>
      <c r="H85" s="15">
        <v>16</v>
      </c>
    </row>
    <row r="86" spans="1:8" x14ac:dyDescent="0.3">
      <c r="A86" t="s">
        <v>6</v>
      </c>
      <c r="B86" t="s">
        <v>16</v>
      </c>
      <c r="C86" t="s">
        <v>67</v>
      </c>
      <c r="D86" t="str">
        <f t="shared" si="8"/>
        <v>C관(2공장) [10] 사출조립 조립59호기</v>
      </c>
      <c r="E86">
        <f t="shared" si="7"/>
        <v>43200</v>
      </c>
      <c r="G86" s="15">
        <v>8</v>
      </c>
      <c r="H86" s="15">
        <v>16</v>
      </c>
    </row>
    <row r="87" spans="1:8" x14ac:dyDescent="0.3">
      <c r="A87" t="s">
        <v>6</v>
      </c>
      <c r="B87" t="s">
        <v>4</v>
      </c>
      <c r="C87" t="s">
        <v>174</v>
      </c>
      <c r="D87" t="str">
        <f t="shared" si="8"/>
        <v>C관(2공장) [20] 분리 분리12호기</v>
      </c>
      <c r="E87">
        <f t="shared" si="7"/>
        <v>61715</v>
      </c>
      <c r="G87" s="15">
        <v>5</v>
      </c>
      <c r="H87" s="15">
        <v>7</v>
      </c>
    </row>
    <row r="88" spans="1:8" x14ac:dyDescent="0.3">
      <c r="A88" t="s">
        <v>6</v>
      </c>
      <c r="B88" t="s">
        <v>4</v>
      </c>
      <c r="C88" t="s">
        <v>87</v>
      </c>
      <c r="D88" t="str">
        <f t="shared" si="8"/>
        <v>C관(2공장) [20] 분리 분리13호기</v>
      </c>
      <c r="E88">
        <f t="shared" si="7"/>
        <v>61715</v>
      </c>
      <c r="G88" s="15">
        <v>5</v>
      </c>
      <c r="H88" s="15">
        <v>7</v>
      </c>
    </row>
    <row r="89" spans="1:8" x14ac:dyDescent="0.3">
      <c r="A89" t="s">
        <v>6</v>
      </c>
      <c r="B89" t="s">
        <v>4</v>
      </c>
      <c r="C89" t="s">
        <v>175</v>
      </c>
      <c r="D89" t="str">
        <f t="shared" si="8"/>
        <v>C관(2공장) [20] 분리 분리15호기</v>
      </c>
      <c r="E89">
        <f t="shared" si="7"/>
        <v>61715</v>
      </c>
      <c r="G89" s="15">
        <v>5</v>
      </c>
      <c r="H89" s="15">
        <v>7</v>
      </c>
    </row>
    <row r="90" spans="1:8" x14ac:dyDescent="0.3">
      <c r="A90" t="s">
        <v>6</v>
      </c>
      <c r="B90" t="s">
        <v>4</v>
      </c>
      <c r="C90" t="s">
        <v>93</v>
      </c>
      <c r="D90" t="str">
        <f t="shared" si="8"/>
        <v>C관(2공장) [20] 분리 분리16호기</v>
      </c>
      <c r="E90">
        <f t="shared" si="7"/>
        <v>61715</v>
      </c>
      <c r="G90" s="15">
        <v>5</v>
      </c>
      <c r="H90" s="15">
        <v>7</v>
      </c>
    </row>
    <row r="91" spans="1:8" x14ac:dyDescent="0.3">
      <c r="A91" t="s">
        <v>6</v>
      </c>
      <c r="B91" t="s">
        <v>4</v>
      </c>
      <c r="C91" t="s">
        <v>176</v>
      </c>
      <c r="D91" t="str">
        <f t="shared" si="8"/>
        <v>C관(2공장) [20] 분리 분리17호기</v>
      </c>
      <c r="E91">
        <f t="shared" si="7"/>
        <v>61715</v>
      </c>
      <c r="G91" s="15">
        <v>5</v>
      </c>
      <c r="H91" s="15">
        <v>7</v>
      </c>
    </row>
    <row r="92" spans="1:8" x14ac:dyDescent="0.3">
      <c r="A92" t="s">
        <v>6</v>
      </c>
      <c r="B92" t="s">
        <v>4</v>
      </c>
      <c r="C92" t="s">
        <v>177</v>
      </c>
      <c r="D92" t="str">
        <f t="shared" si="8"/>
        <v>C관(2공장) [20] 분리 분리18호기</v>
      </c>
      <c r="E92">
        <f t="shared" si="7"/>
        <v>61715</v>
      </c>
      <c r="G92" s="15">
        <v>5</v>
      </c>
      <c r="H92" s="15">
        <v>7</v>
      </c>
    </row>
    <row r="93" spans="1:8" x14ac:dyDescent="0.3">
      <c r="A93" t="s">
        <v>6</v>
      </c>
      <c r="B93" t="s">
        <v>4</v>
      </c>
      <c r="C93" t="s">
        <v>99</v>
      </c>
      <c r="D93" t="str">
        <f t="shared" si="8"/>
        <v>C관(2공장) [20] 분리 분리19호기</v>
      </c>
      <c r="E93">
        <f t="shared" si="7"/>
        <v>61715</v>
      </c>
      <c r="G93" s="15">
        <v>5</v>
      </c>
      <c r="H93" s="15">
        <v>7</v>
      </c>
    </row>
    <row r="94" spans="1:8" x14ac:dyDescent="0.3">
      <c r="A94" t="s">
        <v>6</v>
      </c>
      <c r="B94" t="s">
        <v>4</v>
      </c>
      <c r="C94" t="s">
        <v>55</v>
      </c>
      <c r="D94" t="str">
        <f t="shared" si="8"/>
        <v>C관(2공장) [20] 분리 분리20호기</v>
      </c>
      <c r="E94">
        <f t="shared" si="7"/>
        <v>61715</v>
      </c>
      <c r="G94" s="15">
        <v>5</v>
      </c>
      <c r="H94" s="15">
        <v>7</v>
      </c>
    </row>
    <row r="95" spans="1:8" x14ac:dyDescent="0.3">
      <c r="A95" t="s">
        <v>6</v>
      </c>
      <c r="B95" t="s">
        <v>4</v>
      </c>
      <c r="C95" t="s">
        <v>178</v>
      </c>
      <c r="D95" t="str">
        <f t="shared" si="8"/>
        <v>C관(2공장) [20] 분리 분리21호기</v>
      </c>
      <c r="E95">
        <f t="shared" si="7"/>
        <v>61715</v>
      </c>
      <c r="G95" s="15">
        <v>5</v>
      </c>
      <c r="H95" s="15">
        <v>7</v>
      </c>
    </row>
    <row r="96" spans="1:8" x14ac:dyDescent="0.3">
      <c r="A96" t="s">
        <v>6</v>
      </c>
      <c r="B96" t="s">
        <v>4</v>
      </c>
      <c r="C96" t="s">
        <v>34</v>
      </c>
      <c r="D96" t="str">
        <f t="shared" si="8"/>
        <v>C관(2공장) [20] 분리 분리22호기</v>
      </c>
      <c r="E96">
        <f t="shared" si="7"/>
        <v>61715</v>
      </c>
      <c r="G96" s="15">
        <v>5</v>
      </c>
      <c r="H96" s="15">
        <v>7</v>
      </c>
    </row>
    <row r="97" spans="1:8" x14ac:dyDescent="0.3">
      <c r="A97" t="s">
        <v>6</v>
      </c>
      <c r="B97" t="s">
        <v>4</v>
      </c>
      <c r="C97" t="s">
        <v>96</v>
      </c>
      <c r="D97" t="str">
        <f t="shared" si="8"/>
        <v>C관(2공장) [20] 분리 분리23호기</v>
      </c>
      <c r="E97">
        <f t="shared" si="7"/>
        <v>61715</v>
      </c>
      <c r="G97" s="15">
        <v>5</v>
      </c>
      <c r="H97" s="15">
        <v>7</v>
      </c>
    </row>
    <row r="98" spans="1:8" x14ac:dyDescent="0.3">
      <c r="A98" t="s">
        <v>6</v>
      </c>
      <c r="B98" t="s">
        <v>4</v>
      </c>
      <c r="C98" t="s">
        <v>107</v>
      </c>
      <c r="D98" t="str">
        <f t="shared" si="8"/>
        <v>C관(2공장) [20] 분리 분리24호기</v>
      </c>
      <c r="E98">
        <f t="shared" si="7"/>
        <v>61715</v>
      </c>
      <c r="G98" s="15">
        <v>5</v>
      </c>
      <c r="H98" s="15">
        <v>7</v>
      </c>
    </row>
    <row r="99" spans="1:8" x14ac:dyDescent="0.3">
      <c r="A99" t="s">
        <v>6</v>
      </c>
      <c r="B99" t="s">
        <v>4</v>
      </c>
      <c r="C99" t="s">
        <v>79</v>
      </c>
      <c r="D99" t="str">
        <f t="shared" si="8"/>
        <v>C관(2공장) [20] 분리 분리25호기</v>
      </c>
      <c r="E99">
        <f t="shared" si="7"/>
        <v>61715</v>
      </c>
      <c r="G99" s="15">
        <v>5</v>
      </c>
      <c r="H99" s="15">
        <v>7</v>
      </c>
    </row>
    <row r="100" spans="1:8" x14ac:dyDescent="0.3">
      <c r="A100" t="s">
        <v>6</v>
      </c>
      <c r="B100" t="s">
        <v>4</v>
      </c>
      <c r="C100" t="s">
        <v>117</v>
      </c>
      <c r="D100" t="str">
        <f t="shared" si="8"/>
        <v>C관(2공장) [20] 분리 분리26호기</v>
      </c>
      <c r="E100">
        <f t="shared" si="7"/>
        <v>54000</v>
      </c>
      <c r="G100" s="15">
        <v>5</v>
      </c>
      <c r="H100" s="15">
        <v>8</v>
      </c>
    </row>
    <row r="101" spans="1:8" x14ac:dyDescent="0.3">
      <c r="A101" t="s">
        <v>6</v>
      </c>
      <c r="B101" t="s">
        <v>4</v>
      </c>
      <c r="C101" t="s">
        <v>94</v>
      </c>
      <c r="D101" t="str">
        <f t="shared" si="8"/>
        <v>C관(2공장) [20] 분리 분리27호기</v>
      </c>
      <c r="E101">
        <f t="shared" si="7"/>
        <v>54000</v>
      </c>
      <c r="G101" s="15">
        <v>5</v>
      </c>
      <c r="H101" s="15">
        <v>8</v>
      </c>
    </row>
    <row r="102" spans="1:8" x14ac:dyDescent="0.3">
      <c r="A102" t="s">
        <v>6</v>
      </c>
      <c r="B102" t="s">
        <v>4</v>
      </c>
      <c r="C102" t="s">
        <v>29</v>
      </c>
      <c r="D102" t="str">
        <f t="shared" si="8"/>
        <v>C관(2공장) [20] 분리 분리28호기</v>
      </c>
      <c r="E102">
        <f t="shared" si="7"/>
        <v>54000</v>
      </c>
      <c r="G102" s="15">
        <v>5</v>
      </c>
      <c r="H102" s="15">
        <v>8</v>
      </c>
    </row>
    <row r="103" spans="1:8" x14ac:dyDescent="0.3">
      <c r="A103" t="s">
        <v>6</v>
      </c>
      <c r="B103" t="s">
        <v>4</v>
      </c>
      <c r="C103" t="s">
        <v>108</v>
      </c>
      <c r="D103" t="str">
        <f t="shared" si="8"/>
        <v>C관(2공장) [20] 분리 분리29호기</v>
      </c>
      <c r="E103">
        <f t="shared" si="7"/>
        <v>54000</v>
      </c>
      <c r="G103" s="15">
        <v>5</v>
      </c>
      <c r="H103" s="15">
        <v>8</v>
      </c>
    </row>
    <row r="104" spans="1:8" x14ac:dyDescent="0.3">
      <c r="A104" t="s">
        <v>6</v>
      </c>
      <c r="B104" t="s">
        <v>4</v>
      </c>
      <c r="C104" t="s">
        <v>23</v>
      </c>
      <c r="D104" t="str">
        <f t="shared" si="8"/>
        <v>C관(2공장) [20] 분리 분리30호기</v>
      </c>
      <c r="E104">
        <f t="shared" si="7"/>
        <v>54000</v>
      </c>
      <c r="G104" s="15">
        <v>5</v>
      </c>
      <c r="H104" s="15">
        <v>8</v>
      </c>
    </row>
    <row r="105" spans="1:8" x14ac:dyDescent="0.3">
      <c r="A105" t="s">
        <v>6</v>
      </c>
      <c r="B105" t="s">
        <v>4</v>
      </c>
      <c r="C105" t="s">
        <v>54</v>
      </c>
      <c r="D105" t="str">
        <f t="shared" si="8"/>
        <v>C관(2공장) [20] 분리 분리31호기</v>
      </c>
      <c r="E105">
        <f t="shared" si="7"/>
        <v>54000</v>
      </c>
      <c r="G105" s="15">
        <v>5</v>
      </c>
      <c r="H105" s="15">
        <v>8</v>
      </c>
    </row>
    <row r="106" spans="1:8" x14ac:dyDescent="0.3">
      <c r="A106" t="s">
        <v>6</v>
      </c>
      <c r="B106" t="s">
        <v>4</v>
      </c>
      <c r="C106" t="s">
        <v>90</v>
      </c>
      <c r="D106" t="str">
        <f t="shared" si="8"/>
        <v>C관(2공장) [20] 분리 분리32호기</v>
      </c>
      <c r="E106">
        <f t="shared" si="7"/>
        <v>54000</v>
      </c>
      <c r="G106" s="15">
        <v>5</v>
      </c>
      <c r="H106" s="15">
        <v>8</v>
      </c>
    </row>
    <row r="107" spans="1:8" x14ac:dyDescent="0.3">
      <c r="A107" t="s">
        <v>6</v>
      </c>
      <c r="B107" t="s">
        <v>4</v>
      </c>
      <c r="C107" t="s">
        <v>48</v>
      </c>
      <c r="D107" t="str">
        <f t="shared" si="8"/>
        <v>C관(2공장) [20] 분리 분리33호기</v>
      </c>
      <c r="E107">
        <f t="shared" si="7"/>
        <v>54000</v>
      </c>
      <c r="G107" s="15">
        <v>5</v>
      </c>
      <c r="H107" s="15">
        <v>8</v>
      </c>
    </row>
    <row r="108" spans="1:8" x14ac:dyDescent="0.3">
      <c r="A108" t="s">
        <v>6</v>
      </c>
      <c r="B108" t="s">
        <v>4</v>
      </c>
      <c r="C108" t="s">
        <v>91</v>
      </c>
      <c r="D108" t="str">
        <f t="shared" si="8"/>
        <v>C관(2공장) [20] 분리 분리34호기</v>
      </c>
      <c r="E108">
        <f t="shared" si="7"/>
        <v>54000</v>
      </c>
      <c r="G108" s="15">
        <v>5</v>
      </c>
      <c r="H108" s="15">
        <v>8</v>
      </c>
    </row>
    <row r="109" spans="1:8" x14ac:dyDescent="0.3">
      <c r="A109" t="s">
        <v>6</v>
      </c>
      <c r="B109" t="s">
        <v>4</v>
      </c>
      <c r="C109" t="s">
        <v>95</v>
      </c>
      <c r="D109" t="str">
        <f t="shared" si="8"/>
        <v>C관(2공장) [20] 분리 분리35호기</v>
      </c>
      <c r="E109">
        <f t="shared" si="7"/>
        <v>54000</v>
      </c>
      <c r="G109" s="15">
        <v>5</v>
      </c>
      <c r="H109" s="15">
        <v>8</v>
      </c>
    </row>
    <row r="110" spans="1:8" x14ac:dyDescent="0.3">
      <c r="A110" t="s">
        <v>6</v>
      </c>
      <c r="B110" t="s">
        <v>4</v>
      </c>
      <c r="C110" t="s">
        <v>74</v>
      </c>
      <c r="D110" t="str">
        <f t="shared" si="8"/>
        <v>C관(2공장) [20] 분리 분리36호기</v>
      </c>
      <c r="E110">
        <f t="shared" si="7"/>
        <v>54000</v>
      </c>
      <c r="G110" s="15">
        <v>5</v>
      </c>
      <c r="H110" s="15">
        <v>8</v>
      </c>
    </row>
    <row r="111" spans="1:8" x14ac:dyDescent="0.3">
      <c r="A111" t="s">
        <v>6</v>
      </c>
      <c r="B111" t="s">
        <v>4</v>
      </c>
      <c r="C111" t="s">
        <v>82</v>
      </c>
      <c r="D111" t="str">
        <f t="shared" si="8"/>
        <v>C관(2공장) [20] 분리 분리37호기</v>
      </c>
      <c r="E111">
        <f t="shared" si="7"/>
        <v>54000</v>
      </c>
      <c r="G111" s="15">
        <v>5</v>
      </c>
      <c r="H111" s="15">
        <v>8</v>
      </c>
    </row>
    <row r="112" spans="1:8" x14ac:dyDescent="0.3">
      <c r="A112" t="s">
        <v>6</v>
      </c>
      <c r="B112" t="s">
        <v>4</v>
      </c>
      <c r="C112" t="s">
        <v>51</v>
      </c>
      <c r="D112" t="str">
        <f t="shared" si="8"/>
        <v>C관(2공장) [20] 분리 분리43호기</v>
      </c>
      <c r="E112">
        <f t="shared" si="7"/>
        <v>54000</v>
      </c>
      <c r="G112" s="15">
        <v>5</v>
      </c>
      <c r="H112" s="15">
        <v>8</v>
      </c>
    </row>
    <row r="113" spans="1:9" x14ac:dyDescent="0.3">
      <c r="A113" t="s">
        <v>6</v>
      </c>
      <c r="B113" t="s">
        <v>4</v>
      </c>
      <c r="C113" t="s">
        <v>182</v>
      </c>
      <c r="D113" t="str">
        <f t="shared" si="8"/>
        <v>C관(2공장) [20] 분리 분리44호기</v>
      </c>
      <c r="E113">
        <f t="shared" si="7"/>
        <v>54000</v>
      </c>
      <c r="G113" s="15">
        <v>5</v>
      </c>
      <c r="H113" s="15">
        <v>8</v>
      </c>
    </row>
    <row r="114" spans="1:9" x14ac:dyDescent="0.3">
      <c r="A114" t="s">
        <v>6</v>
      </c>
      <c r="B114" t="s">
        <v>4</v>
      </c>
      <c r="C114" t="s">
        <v>228</v>
      </c>
      <c r="D114" t="str">
        <f t="shared" si="8"/>
        <v>C관(2공장) [20] 분리 분리6호기(초음파)</v>
      </c>
      <c r="E114">
        <f t="shared" si="7"/>
        <v>36000</v>
      </c>
      <c r="G114" s="15">
        <v>5</v>
      </c>
      <c r="H114" s="15">
        <v>12</v>
      </c>
    </row>
    <row r="115" spans="1:9" x14ac:dyDescent="0.3">
      <c r="A115" t="s">
        <v>6</v>
      </c>
      <c r="B115" t="s">
        <v>4</v>
      </c>
      <c r="C115" t="s">
        <v>179</v>
      </c>
      <c r="D115" t="str">
        <f t="shared" si="8"/>
        <v>C관(2공장) [20] 분리 분리38호기(초음파)</v>
      </c>
      <c r="E115">
        <f t="shared" si="7"/>
        <v>36000</v>
      </c>
      <c r="G115" s="15">
        <v>5</v>
      </c>
      <c r="H115" s="15">
        <v>12</v>
      </c>
    </row>
    <row r="116" spans="1:9" x14ac:dyDescent="0.3">
      <c r="A116" t="s">
        <v>6</v>
      </c>
      <c r="B116" t="s">
        <v>4</v>
      </c>
      <c r="C116" t="s">
        <v>180</v>
      </c>
      <c r="D116" t="str">
        <f t="shared" si="8"/>
        <v>C관(2공장) [20] 분리 분리39호기(초음파)</v>
      </c>
      <c r="E116">
        <f t="shared" si="7"/>
        <v>36000</v>
      </c>
      <c r="G116" s="15">
        <v>5</v>
      </c>
      <c r="H116" s="15">
        <v>12</v>
      </c>
    </row>
    <row r="117" spans="1:9" x14ac:dyDescent="0.3">
      <c r="A117" t="s">
        <v>6</v>
      </c>
      <c r="B117" t="s">
        <v>4</v>
      </c>
      <c r="C117" t="s">
        <v>181</v>
      </c>
      <c r="D117" t="str">
        <f t="shared" si="8"/>
        <v>C관(2공장) [20] 분리 분리40호기(초음파)</v>
      </c>
      <c r="E117">
        <f t="shared" si="7"/>
        <v>36000</v>
      </c>
      <c r="G117" s="15">
        <v>5</v>
      </c>
      <c r="H117" s="15">
        <v>12</v>
      </c>
    </row>
    <row r="118" spans="1:9" x14ac:dyDescent="0.3">
      <c r="A118" t="s">
        <v>6</v>
      </c>
      <c r="B118" t="s">
        <v>7</v>
      </c>
      <c r="C118" t="s">
        <v>43</v>
      </c>
      <c r="D118" t="str">
        <f t="shared" si="8"/>
        <v>C관(2공장) [45] 하이드레이션/전면검사 워터배스2-1호기</v>
      </c>
      <c r="E118">
        <f t="shared" si="7"/>
        <v>120000</v>
      </c>
      <c r="G118" s="15">
        <v>20000</v>
      </c>
      <c r="H118" s="15">
        <f>60*60*4</f>
        <v>14400</v>
      </c>
      <c r="I118" t="s">
        <v>305</v>
      </c>
    </row>
    <row r="119" spans="1:9" x14ac:dyDescent="0.3">
      <c r="A119" t="s">
        <v>6</v>
      </c>
      <c r="B119" t="s">
        <v>7</v>
      </c>
      <c r="C119" t="s">
        <v>14</v>
      </c>
      <c r="D119" t="str">
        <f t="shared" si="8"/>
        <v>C관(2공장) [45] 하이드레이션/전면검사 워터배스2-2호기</v>
      </c>
      <c r="E119">
        <f t="shared" si="7"/>
        <v>120000</v>
      </c>
      <c r="G119" s="15">
        <v>20000</v>
      </c>
      <c r="H119" s="15">
        <f t="shared" ref="H119:H132" si="9">60*60*4</f>
        <v>14400</v>
      </c>
      <c r="I119" t="s">
        <v>305</v>
      </c>
    </row>
    <row r="120" spans="1:9" x14ac:dyDescent="0.3">
      <c r="A120" t="s">
        <v>6</v>
      </c>
      <c r="B120" t="s">
        <v>7</v>
      </c>
      <c r="C120" t="s">
        <v>92</v>
      </c>
      <c r="D120" t="str">
        <f t="shared" si="8"/>
        <v>C관(2공장) [45] 하이드레이션/전면검사 워터배스2-3호기</v>
      </c>
      <c r="E120">
        <f t="shared" si="7"/>
        <v>120000</v>
      </c>
      <c r="G120" s="15">
        <v>20000</v>
      </c>
      <c r="H120" s="15">
        <f t="shared" si="9"/>
        <v>14400</v>
      </c>
      <c r="I120" t="s">
        <v>305</v>
      </c>
    </row>
    <row r="121" spans="1:9" x14ac:dyDescent="0.3">
      <c r="A121" t="s">
        <v>6</v>
      </c>
      <c r="B121" t="s">
        <v>7</v>
      </c>
      <c r="C121" t="s">
        <v>72</v>
      </c>
      <c r="D121" t="str">
        <f t="shared" si="8"/>
        <v>C관(2공장) [45] 하이드레이션/전면검사 워터배스2-4호기</v>
      </c>
      <c r="E121">
        <f t="shared" si="7"/>
        <v>120000</v>
      </c>
      <c r="G121" s="15">
        <v>20000</v>
      </c>
      <c r="H121" s="15">
        <f t="shared" si="9"/>
        <v>14400</v>
      </c>
      <c r="I121" t="s">
        <v>305</v>
      </c>
    </row>
    <row r="122" spans="1:9" x14ac:dyDescent="0.3">
      <c r="A122" t="s">
        <v>6</v>
      </c>
      <c r="B122" t="s">
        <v>7</v>
      </c>
      <c r="C122" t="s">
        <v>125</v>
      </c>
      <c r="D122" t="str">
        <f t="shared" si="8"/>
        <v>C관(2공장) [45] 하이드레이션/전면검사 워터배스2-5호기</v>
      </c>
      <c r="E122">
        <f t="shared" si="7"/>
        <v>120000</v>
      </c>
      <c r="G122" s="15">
        <v>20000</v>
      </c>
      <c r="H122" s="15">
        <f t="shared" si="9"/>
        <v>14400</v>
      </c>
      <c r="I122" t="s">
        <v>305</v>
      </c>
    </row>
    <row r="123" spans="1:9" x14ac:dyDescent="0.3">
      <c r="A123" t="s">
        <v>6</v>
      </c>
      <c r="B123" t="s">
        <v>7</v>
      </c>
      <c r="C123" t="s">
        <v>154</v>
      </c>
      <c r="D123" t="str">
        <f t="shared" si="8"/>
        <v>C관(2공장) [45] 하이드레이션/전면검사 워터배스2-6호기</v>
      </c>
      <c r="E123">
        <f t="shared" si="7"/>
        <v>30000</v>
      </c>
      <c r="G123" s="15">
        <v>5000</v>
      </c>
      <c r="H123" s="15">
        <f t="shared" si="9"/>
        <v>14400</v>
      </c>
      <c r="I123" t="s">
        <v>303</v>
      </c>
    </row>
    <row r="124" spans="1:9" x14ac:dyDescent="0.3">
      <c r="A124" t="s">
        <v>6</v>
      </c>
      <c r="B124" t="s">
        <v>7</v>
      </c>
      <c r="C124" t="s">
        <v>137</v>
      </c>
      <c r="D124" t="str">
        <f t="shared" si="8"/>
        <v>C관(2공장) [45] 하이드레이션/전면검사 워터배스2-7호기</v>
      </c>
      <c r="E124">
        <f t="shared" si="7"/>
        <v>120000</v>
      </c>
      <c r="G124" s="15">
        <v>20000</v>
      </c>
      <c r="H124" s="15">
        <f t="shared" si="9"/>
        <v>14400</v>
      </c>
      <c r="I124" t="s">
        <v>305</v>
      </c>
    </row>
    <row r="125" spans="1:9" x14ac:dyDescent="0.3">
      <c r="A125" t="s">
        <v>6</v>
      </c>
      <c r="B125" t="s">
        <v>7</v>
      </c>
      <c r="C125" t="s">
        <v>128</v>
      </c>
      <c r="D125" t="str">
        <f t="shared" si="8"/>
        <v>C관(2공장) [45] 하이드레이션/전면검사 워터배스2-8호기</v>
      </c>
      <c r="E125">
        <f t="shared" ref="E125:E184" si="10">ROUNDUP(24*60*60/H125*G125,0)</f>
        <v>120000</v>
      </c>
      <c r="G125" s="15">
        <v>20000</v>
      </c>
      <c r="H125" s="15">
        <f t="shared" si="9"/>
        <v>14400</v>
      </c>
      <c r="I125" t="s">
        <v>305</v>
      </c>
    </row>
    <row r="126" spans="1:9" x14ac:dyDescent="0.3">
      <c r="A126" t="s">
        <v>6</v>
      </c>
      <c r="B126" t="s">
        <v>7</v>
      </c>
      <c r="C126" t="s">
        <v>37</v>
      </c>
      <c r="D126" t="str">
        <f t="shared" si="8"/>
        <v>C관(2공장) [45] 하이드레이션/전면검사 워터배스2-9호기</v>
      </c>
      <c r="E126">
        <f t="shared" si="10"/>
        <v>120000</v>
      </c>
      <c r="G126" s="15">
        <v>20000</v>
      </c>
      <c r="H126" s="15">
        <f t="shared" si="9"/>
        <v>14400</v>
      </c>
      <c r="I126" t="s">
        <v>305</v>
      </c>
    </row>
    <row r="127" spans="1:9" x14ac:dyDescent="0.3">
      <c r="A127" t="s">
        <v>6</v>
      </c>
      <c r="B127" t="s">
        <v>7</v>
      </c>
      <c r="C127" t="s">
        <v>85</v>
      </c>
      <c r="D127" t="str">
        <f t="shared" si="8"/>
        <v>C관(2공장) [45] 하이드레이션/전면검사 워터배스2-10호기</v>
      </c>
      <c r="E127">
        <f t="shared" si="10"/>
        <v>120000</v>
      </c>
      <c r="G127" s="15">
        <v>20000</v>
      </c>
      <c r="H127" s="15">
        <f t="shared" si="9"/>
        <v>14400</v>
      </c>
      <c r="I127" t="s">
        <v>305</v>
      </c>
    </row>
    <row r="128" spans="1:9" x14ac:dyDescent="0.3">
      <c r="A128" t="s">
        <v>6</v>
      </c>
      <c r="B128" t="s">
        <v>7</v>
      </c>
      <c r="C128" t="s">
        <v>24</v>
      </c>
      <c r="D128" t="str">
        <f t="shared" si="8"/>
        <v>C관(2공장) [45] 하이드레이션/전면검사 워터배스2-11호기</v>
      </c>
      <c r="E128">
        <f t="shared" si="10"/>
        <v>150000</v>
      </c>
      <c r="G128" s="15">
        <v>25000</v>
      </c>
      <c r="H128" s="15">
        <f t="shared" si="9"/>
        <v>14400</v>
      </c>
      <c r="I128" t="s">
        <v>304</v>
      </c>
    </row>
    <row r="129" spans="1:9" x14ac:dyDescent="0.3">
      <c r="A129" t="s">
        <v>6</v>
      </c>
      <c r="B129" t="s">
        <v>7</v>
      </c>
      <c r="C129" t="s">
        <v>8</v>
      </c>
      <c r="D129" t="str">
        <f t="shared" si="8"/>
        <v>C관(2공장) [45] 하이드레이션/전면검사 워터배스2-12호기</v>
      </c>
      <c r="E129">
        <f t="shared" si="10"/>
        <v>150000</v>
      </c>
      <c r="G129" s="15">
        <v>25000</v>
      </c>
      <c r="H129" s="15">
        <f t="shared" si="9"/>
        <v>14400</v>
      </c>
      <c r="I129" t="s">
        <v>304</v>
      </c>
    </row>
    <row r="130" spans="1:9" x14ac:dyDescent="0.3">
      <c r="A130" t="s">
        <v>6</v>
      </c>
      <c r="B130" t="s">
        <v>7</v>
      </c>
      <c r="C130" t="s">
        <v>77</v>
      </c>
      <c r="D130" t="str">
        <f t="shared" si="8"/>
        <v>C관(2공장) [45] 하이드레이션/전면검사 워터배스2-13호기</v>
      </c>
      <c r="E130">
        <f t="shared" si="10"/>
        <v>150000</v>
      </c>
      <c r="G130" s="15">
        <v>25000</v>
      </c>
      <c r="H130" s="15">
        <f t="shared" si="9"/>
        <v>14400</v>
      </c>
      <c r="I130" t="s">
        <v>304</v>
      </c>
    </row>
    <row r="131" spans="1:9" x14ac:dyDescent="0.3">
      <c r="A131" t="s">
        <v>6</v>
      </c>
      <c r="B131" t="s">
        <v>7</v>
      </c>
      <c r="C131" t="s">
        <v>38</v>
      </c>
      <c r="D131" t="str">
        <f t="shared" si="8"/>
        <v>C관(2공장) [45] 하이드레이션/전면검사 워터배스2-14호기</v>
      </c>
      <c r="E131">
        <f t="shared" si="10"/>
        <v>150000</v>
      </c>
      <c r="G131" s="15">
        <v>25000</v>
      </c>
      <c r="H131" s="15">
        <f t="shared" si="9"/>
        <v>14400</v>
      </c>
      <c r="I131" t="s">
        <v>304</v>
      </c>
    </row>
    <row r="132" spans="1:9" x14ac:dyDescent="0.3">
      <c r="A132" t="s">
        <v>6</v>
      </c>
      <c r="B132" t="s">
        <v>7</v>
      </c>
      <c r="C132" t="s">
        <v>185</v>
      </c>
      <c r="D132" t="str">
        <f t="shared" ref="D132:D195" si="11">A132&amp;" "&amp;B132&amp;" "&amp;C132</f>
        <v>C관(2공장) [45] 하이드레이션/전면검사 워터배스2-15호기</v>
      </c>
      <c r="E132">
        <f t="shared" si="10"/>
        <v>150000</v>
      </c>
      <c r="G132" s="15">
        <v>25000</v>
      </c>
      <c r="H132" s="15">
        <f t="shared" si="9"/>
        <v>14400</v>
      </c>
      <c r="I132" t="s">
        <v>304</v>
      </c>
    </row>
    <row r="133" spans="1:9" x14ac:dyDescent="0.3">
      <c r="A133" s="2" t="s">
        <v>6</v>
      </c>
      <c r="B133" s="2" t="s">
        <v>9</v>
      </c>
      <c r="C133" s="2" t="s">
        <v>230</v>
      </c>
      <c r="D133" t="str">
        <f t="shared" si="11"/>
        <v>C관(2공장) [55] 접착/ 멸균 C관 멸균기1호기</v>
      </c>
      <c r="E133">
        <f t="shared" si="10"/>
        <v>752000</v>
      </c>
      <c r="G133" s="15">
        <v>47000</v>
      </c>
      <c r="H133" s="15">
        <f>60*90</f>
        <v>5400</v>
      </c>
    </row>
    <row r="134" spans="1:9" x14ac:dyDescent="0.3">
      <c r="A134" s="2" t="s">
        <v>6</v>
      </c>
      <c r="B134" s="2" t="s">
        <v>9</v>
      </c>
      <c r="C134" s="2" t="s">
        <v>231</v>
      </c>
      <c r="D134" t="str">
        <f t="shared" si="11"/>
        <v>C관(2공장) [55] 접착/ 멸균 C관 멸균기2호기</v>
      </c>
      <c r="E134">
        <f t="shared" si="10"/>
        <v>752000</v>
      </c>
      <c r="G134" s="15">
        <v>47000</v>
      </c>
      <c r="H134" s="15">
        <f>60*90</f>
        <v>5400</v>
      </c>
    </row>
    <row r="135" spans="1:9" x14ac:dyDescent="0.3">
      <c r="A135" t="s">
        <v>6</v>
      </c>
      <c r="B135" t="s">
        <v>9</v>
      </c>
      <c r="C135" t="s">
        <v>193</v>
      </c>
      <c r="D135" t="str">
        <f t="shared" si="11"/>
        <v>C관(2공장) [55] 접착/ 멸균 검사30호기</v>
      </c>
      <c r="E135">
        <f t="shared" si="10"/>
        <v>66462</v>
      </c>
      <c r="G135" s="15">
        <v>5</v>
      </c>
      <c r="H135" s="15">
        <v>6.5</v>
      </c>
    </row>
    <row r="136" spans="1:9" x14ac:dyDescent="0.3">
      <c r="A136" t="s">
        <v>6</v>
      </c>
      <c r="B136" t="s">
        <v>9</v>
      </c>
      <c r="C136" t="s">
        <v>194</v>
      </c>
      <c r="D136" t="str">
        <f t="shared" si="11"/>
        <v>C관(2공장) [55] 접착/ 멸균 검사31호기</v>
      </c>
      <c r="E136">
        <f t="shared" si="10"/>
        <v>66462</v>
      </c>
      <c r="G136" s="15">
        <v>5</v>
      </c>
      <c r="H136" s="15">
        <v>6.5</v>
      </c>
    </row>
    <row r="137" spans="1:9" x14ac:dyDescent="0.3">
      <c r="A137" t="s">
        <v>6</v>
      </c>
      <c r="B137" t="s">
        <v>9</v>
      </c>
      <c r="C137" t="s">
        <v>195</v>
      </c>
      <c r="D137" t="str">
        <f t="shared" si="11"/>
        <v>C관(2공장) [55] 접착/ 멸균 검사32호기</v>
      </c>
      <c r="E137">
        <f t="shared" si="10"/>
        <v>66462</v>
      </c>
      <c r="G137" s="15">
        <v>5</v>
      </c>
      <c r="H137" s="15">
        <v>6.5</v>
      </c>
    </row>
    <row r="138" spans="1:9" x14ac:dyDescent="0.3">
      <c r="A138" t="s">
        <v>6</v>
      </c>
      <c r="B138" t="s">
        <v>9</v>
      </c>
      <c r="C138" t="s">
        <v>196</v>
      </c>
      <c r="D138" t="str">
        <f t="shared" si="11"/>
        <v>C관(2공장) [55] 접착/ 멸균 검사33호기</v>
      </c>
      <c r="E138">
        <f t="shared" si="10"/>
        <v>66462</v>
      </c>
      <c r="G138" s="15">
        <v>5</v>
      </c>
      <c r="H138" s="15">
        <v>6.5</v>
      </c>
    </row>
    <row r="139" spans="1:9" x14ac:dyDescent="0.3">
      <c r="A139" t="s">
        <v>6</v>
      </c>
      <c r="B139" t="s">
        <v>9</v>
      </c>
      <c r="C139" t="s">
        <v>25</v>
      </c>
      <c r="D139" t="str">
        <f t="shared" si="11"/>
        <v>C관(2공장) [55] 접착/ 멸균 검사34호기</v>
      </c>
      <c r="E139">
        <f t="shared" si="10"/>
        <v>78546</v>
      </c>
      <c r="G139" s="15">
        <v>5</v>
      </c>
      <c r="H139" s="15">
        <v>5.5</v>
      </c>
    </row>
    <row r="140" spans="1:9" x14ac:dyDescent="0.3">
      <c r="A140" t="s">
        <v>6</v>
      </c>
      <c r="B140" t="s">
        <v>9</v>
      </c>
      <c r="C140" t="s">
        <v>47</v>
      </c>
      <c r="D140" t="str">
        <f t="shared" si="11"/>
        <v>C관(2공장) [55] 접착/ 멸균 검사35호기</v>
      </c>
      <c r="E140">
        <f t="shared" si="10"/>
        <v>78546</v>
      </c>
      <c r="G140" s="15">
        <v>5</v>
      </c>
      <c r="H140" s="15">
        <v>5.5</v>
      </c>
    </row>
    <row r="141" spans="1:9" x14ac:dyDescent="0.3">
      <c r="A141" t="s">
        <v>6</v>
      </c>
      <c r="B141" t="s">
        <v>9</v>
      </c>
      <c r="C141" t="s">
        <v>46</v>
      </c>
      <c r="D141" t="str">
        <f t="shared" si="11"/>
        <v>C관(2공장) [55] 접착/ 멸균 검사36호기</v>
      </c>
      <c r="E141">
        <f t="shared" si="10"/>
        <v>78546</v>
      </c>
      <c r="G141" s="15">
        <v>5</v>
      </c>
      <c r="H141" s="15">
        <v>5.5</v>
      </c>
    </row>
    <row r="142" spans="1:9" x14ac:dyDescent="0.3">
      <c r="A142" t="s">
        <v>6</v>
      </c>
      <c r="B142" t="s">
        <v>9</v>
      </c>
      <c r="C142" t="s">
        <v>62</v>
      </c>
      <c r="D142" t="str">
        <f t="shared" si="11"/>
        <v>C관(2공장) [55] 접착/ 멸균 검사37호기</v>
      </c>
      <c r="E142">
        <f t="shared" si="10"/>
        <v>78546</v>
      </c>
      <c r="G142" s="15">
        <v>5</v>
      </c>
      <c r="H142" s="15">
        <v>5.5</v>
      </c>
    </row>
    <row r="143" spans="1:9" x14ac:dyDescent="0.3">
      <c r="A143" t="s">
        <v>6</v>
      </c>
      <c r="B143" t="s">
        <v>9</v>
      </c>
      <c r="C143" t="s">
        <v>73</v>
      </c>
      <c r="D143" t="str">
        <f t="shared" si="11"/>
        <v>C관(2공장) [55] 접착/ 멸균 검사38호기</v>
      </c>
      <c r="E143">
        <f t="shared" si="10"/>
        <v>78546</v>
      </c>
      <c r="G143" s="15">
        <v>5</v>
      </c>
      <c r="H143" s="15">
        <v>5.5</v>
      </c>
    </row>
    <row r="144" spans="1:9" x14ac:dyDescent="0.3">
      <c r="A144" t="s">
        <v>6</v>
      </c>
      <c r="B144" t="s">
        <v>9</v>
      </c>
      <c r="C144" t="s">
        <v>78</v>
      </c>
      <c r="D144" t="str">
        <f t="shared" si="11"/>
        <v>C관(2공장) [55] 접착/ 멸균 검사39호기</v>
      </c>
      <c r="E144">
        <f t="shared" si="10"/>
        <v>78546</v>
      </c>
      <c r="G144" s="15">
        <v>5</v>
      </c>
      <c r="H144" s="15">
        <v>5.5</v>
      </c>
    </row>
    <row r="145" spans="1:8" x14ac:dyDescent="0.3">
      <c r="A145" t="s">
        <v>6</v>
      </c>
      <c r="B145" t="s">
        <v>9</v>
      </c>
      <c r="C145" t="s">
        <v>36</v>
      </c>
      <c r="D145" t="str">
        <f t="shared" si="11"/>
        <v>C관(2공장) [55] 접착/ 멸균 검사40호기</v>
      </c>
      <c r="E145">
        <f t="shared" si="10"/>
        <v>78546</v>
      </c>
      <c r="G145" s="15">
        <v>5</v>
      </c>
      <c r="H145" s="15">
        <v>5.5</v>
      </c>
    </row>
    <row r="146" spans="1:8" x14ac:dyDescent="0.3">
      <c r="A146" t="s">
        <v>6</v>
      </c>
      <c r="B146" t="s">
        <v>9</v>
      </c>
      <c r="C146" t="s">
        <v>21</v>
      </c>
      <c r="D146" t="str">
        <f t="shared" si="11"/>
        <v>C관(2공장) [55] 접착/ 멸균 검사41호기</v>
      </c>
      <c r="E146">
        <f t="shared" si="10"/>
        <v>78546</v>
      </c>
      <c r="G146" s="15">
        <v>5</v>
      </c>
      <c r="H146" s="15">
        <v>5.5</v>
      </c>
    </row>
    <row r="147" spans="1:8" x14ac:dyDescent="0.3">
      <c r="A147" t="s">
        <v>6</v>
      </c>
      <c r="B147" t="s">
        <v>9</v>
      </c>
      <c r="C147" t="s">
        <v>10</v>
      </c>
      <c r="D147" t="str">
        <f t="shared" si="11"/>
        <v>C관(2공장) [55] 접착/ 멸균 검사42호기</v>
      </c>
      <c r="E147">
        <f t="shared" si="10"/>
        <v>78546</v>
      </c>
      <c r="G147" s="15">
        <v>5</v>
      </c>
      <c r="H147" s="15">
        <v>5.5</v>
      </c>
    </row>
    <row r="148" spans="1:8" x14ac:dyDescent="0.3">
      <c r="A148" t="s">
        <v>6</v>
      </c>
      <c r="B148" t="s">
        <v>9</v>
      </c>
      <c r="C148" t="s">
        <v>22</v>
      </c>
      <c r="D148" t="str">
        <f t="shared" si="11"/>
        <v>C관(2공장) [55] 접착/ 멸균 검사43호기</v>
      </c>
      <c r="E148">
        <f t="shared" si="10"/>
        <v>78546</v>
      </c>
      <c r="G148" s="15">
        <v>5</v>
      </c>
      <c r="H148" s="15">
        <v>5.5</v>
      </c>
    </row>
    <row r="149" spans="1:8" x14ac:dyDescent="0.3">
      <c r="A149" t="s">
        <v>6</v>
      </c>
      <c r="B149" t="s">
        <v>9</v>
      </c>
      <c r="C149" t="s">
        <v>30</v>
      </c>
      <c r="D149" t="str">
        <f t="shared" si="11"/>
        <v>C관(2공장) [55] 접착/ 멸균 검사44호기</v>
      </c>
      <c r="E149">
        <f t="shared" si="10"/>
        <v>78546</v>
      </c>
      <c r="G149" s="15">
        <v>5</v>
      </c>
      <c r="H149" s="15">
        <v>5.5</v>
      </c>
    </row>
    <row r="150" spans="1:8" x14ac:dyDescent="0.3">
      <c r="A150" t="s">
        <v>6</v>
      </c>
      <c r="B150" t="s">
        <v>9</v>
      </c>
      <c r="C150" t="s">
        <v>39</v>
      </c>
      <c r="D150" t="str">
        <f t="shared" si="11"/>
        <v>C관(2공장) [55] 접착/ 멸균 검사45호기</v>
      </c>
      <c r="E150">
        <f t="shared" si="10"/>
        <v>78546</v>
      </c>
      <c r="G150" s="15">
        <v>5</v>
      </c>
      <c r="H150" s="15">
        <v>5.5</v>
      </c>
    </row>
    <row r="151" spans="1:8" x14ac:dyDescent="0.3">
      <c r="A151" t="s">
        <v>6</v>
      </c>
      <c r="B151" t="s">
        <v>9</v>
      </c>
      <c r="C151" t="s">
        <v>50</v>
      </c>
      <c r="D151" t="str">
        <f t="shared" si="11"/>
        <v>C관(2공장) [55] 접착/ 멸균 검사46호기</v>
      </c>
      <c r="E151">
        <f t="shared" si="10"/>
        <v>78546</v>
      </c>
      <c r="G151" s="15">
        <v>5</v>
      </c>
      <c r="H151" s="15">
        <v>5.5</v>
      </c>
    </row>
    <row r="152" spans="1:8" x14ac:dyDescent="0.3">
      <c r="A152" t="s">
        <v>6</v>
      </c>
      <c r="B152" t="s">
        <v>9</v>
      </c>
      <c r="C152" t="s">
        <v>20</v>
      </c>
      <c r="D152" t="str">
        <f t="shared" si="11"/>
        <v>C관(2공장) [55] 접착/ 멸균 검사47호기</v>
      </c>
      <c r="E152">
        <f t="shared" si="10"/>
        <v>78546</v>
      </c>
      <c r="G152" s="15">
        <v>5</v>
      </c>
      <c r="H152" s="15">
        <v>5.5</v>
      </c>
    </row>
    <row r="153" spans="1:8" x14ac:dyDescent="0.3">
      <c r="A153" t="s">
        <v>6</v>
      </c>
      <c r="B153" t="s">
        <v>9</v>
      </c>
      <c r="C153" t="s">
        <v>45</v>
      </c>
      <c r="D153" t="str">
        <f t="shared" si="11"/>
        <v>C관(2공장) [55] 접착/ 멸균 검사48호기</v>
      </c>
      <c r="E153">
        <f t="shared" si="10"/>
        <v>78546</v>
      </c>
      <c r="G153" s="15">
        <v>5</v>
      </c>
      <c r="H153" s="15">
        <v>5.5</v>
      </c>
    </row>
    <row r="154" spans="1:8" x14ac:dyDescent="0.3">
      <c r="A154" t="s">
        <v>6</v>
      </c>
      <c r="B154" t="s">
        <v>12</v>
      </c>
      <c r="C154" t="s">
        <v>13</v>
      </c>
      <c r="D154" t="str">
        <f t="shared" si="11"/>
        <v>C관(2공장) [80] 누수/규격검사 누수/규격검사(2공장)</v>
      </c>
      <c r="E154">
        <f>G154*H154</f>
        <v>720000</v>
      </c>
      <c r="G154" s="15">
        <v>90000</v>
      </c>
      <c r="H154" s="15">
        <v>8</v>
      </c>
    </row>
    <row r="155" spans="1:8" x14ac:dyDescent="0.3">
      <c r="A155" t="s">
        <v>26</v>
      </c>
      <c r="B155" t="s">
        <v>16</v>
      </c>
      <c r="C155" t="s">
        <v>58</v>
      </c>
      <c r="D155" t="str">
        <f t="shared" si="11"/>
        <v>S관(3공장) [10] 사출조립 A형 인라인1호기</v>
      </c>
      <c r="E155">
        <f t="shared" si="10"/>
        <v>43200</v>
      </c>
      <c r="G155" s="15">
        <v>8</v>
      </c>
      <c r="H155" s="15">
        <v>16</v>
      </c>
    </row>
    <row r="156" spans="1:8" x14ac:dyDescent="0.3">
      <c r="A156" t="s">
        <v>26</v>
      </c>
      <c r="B156" t="s">
        <v>16</v>
      </c>
      <c r="C156" t="s">
        <v>59</v>
      </c>
      <c r="D156" t="str">
        <f t="shared" si="11"/>
        <v>S관(3공장) [10] 사출조립 A형 인라인2호기</v>
      </c>
      <c r="E156">
        <f t="shared" si="10"/>
        <v>43200</v>
      </c>
      <c r="G156" s="15">
        <v>8</v>
      </c>
      <c r="H156" s="15">
        <v>16</v>
      </c>
    </row>
    <row r="157" spans="1:8" x14ac:dyDescent="0.3">
      <c r="A157" t="s">
        <v>26</v>
      </c>
      <c r="B157" t="s">
        <v>16</v>
      </c>
      <c r="C157" t="s">
        <v>44</v>
      </c>
      <c r="D157" t="str">
        <f t="shared" si="11"/>
        <v>S관(3공장) [10] 사출조립 A형 인라인3호기</v>
      </c>
      <c r="E157">
        <f t="shared" si="10"/>
        <v>43200</v>
      </c>
      <c r="G157" s="15">
        <v>8</v>
      </c>
      <c r="H157" s="15">
        <v>16</v>
      </c>
    </row>
    <row r="158" spans="1:8" x14ac:dyDescent="0.3">
      <c r="A158" t="s">
        <v>26</v>
      </c>
      <c r="B158" t="s">
        <v>16</v>
      </c>
      <c r="C158" t="s">
        <v>27</v>
      </c>
      <c r="D158" t="str">
        <f t="shared" si="11"/>
        <v>S관(3공장) [10] 사출조립 A형 인라인4호기</v>
      </c>
      <c r="E158">
        <f t="shared" si="10"/>
        <v>43200</v>
      </c>
      <c r="G158" s="15">
        <v>8</v>
      </c>
      <c r="H158" s="15">
        <v>16</v>
      </c>
    </row>
    <row r="159" spans="1:8" x14ac:dyDescent="0.3">
      <c r="A159" t="s">
        <v>26</v>
      </c>
      <c r="B159" t="s">
        <v>16</v>
      </c>
      <c r="C159" t="s">
        <v>71</v>
      </c>
      <c r="D159" t="str">
        <f t="shared" si="11"/>
        <v>S관(3공장) [10] 사출조립 A형 인라인5호기</v>
      </c>
      <c r="E159">
        <f t="shared" si="10"/>
        <v>43200</v>
      </c>
      <c r="G159" s="15">
        <v>8</v>
      </c>
      <c r="H159" s="15">
        <v>16</v>
      </c>
    </row>
    <row r="160" spans="1:8" x14ac:dyDescent="0.3">
      <c r="A160" t="s">
        <v>26</v>
      </c>
      <c r="B160" t="s">
        <v>16</v>
      </c>
      <c r="C160" t="s">
        <v>61</v>
      </c>
      <c r="D160" t="str">
        <f t="shared" si="11"/>
        <v>S관(3공장) [10] 사출조립 A형 인라인6호기</v>
      </c>
      <c r="E160">
        <f t="shared" si="10"/>
        <v>43200</v>
      </c>
      <c r="G160" s="15">
        <v>8</v>
      </c>
      <c r="H160" s="15">
        <v>16</v>
      </c>
    </row>
    <row r="161" spans="1:8" x14ac:dyDescent="0.3">
      <c r="A161" t="s">
        <v>26</v>
      </c>
      <c r="B161" t="s">
        <v>4</v>
      </c>
      <c r="C161" t="s">
        <v>58</v>
      </c>
      <c r="D161" t="str">
        <f t="shared" si="11"/>
        <v>S관(3공장) [20] 분리 A형 인라인1호기</v>
      </c>
      <c r="E161">
        <f t="shared" si="10"/>
        <v>43200</v>
      </c>
      <c r="G161" s="15">
        <v>8</v>
      </c>
      <c r="H161" s="15">
        <v>16</v>
      </c>
    </row>
    <row r="162" spans="1:8" x14ac:dyDescent="0.3">
      <c r="A162" t="s">
        <v>26</v>
      </c>
      <c r="B162" t="s">
        <v>4</v>
      </c>
      <c r="C162" t="s">
        <v>59</v>
      </c>
      <c r="D162" t="str">
        <f t="shared" si="11"/>
        <v>S관(3공장) [20] 분리 A형 인라인2호기</v>
      </c>
      <c r="E162">
        <f t="shared" si="10"/>
        <v>43200</v>
      </c>
      <c r="G162" s="15">
        <v>8</v>
      </c>
      <c r="H162" s="15">
        <v>16</v>
      </c>
    </row>
    <row r="163" spans="1:8" x14ac:dyDescent="0.3">
      <c r="A163" t="s">
        <v>26</v>
      </c>
      <c r="B163" t="s">
        <v>4</v>
      </c>
      <c r="C163" t="s">
        <v>44</v>
      </c>
      <c r="D163" t="str">
        <f t="shared" si="11"/>
        <v>S관(3공장) [20] 분리 A형 인라인3호기</v>
      </c>
      <c r="E163">
        <f t="shared" si="10"/>
        <v>43200</v>
      </c>
      <c r="G163" s="15">
        <v>8</v>
      </c>
      <c r="H163" s="15">
        <v>16</v>
      </c>
    </row>
    <row r="164" spans="1:8" x14ac:dyDescent="0.3">
      <c r="A164" t="s">
        <v>26</v>
      </c>
      <c r="B164" t="s">
        <v>4</v>
      </c>
      <c r="C164" t="s">
        <v>27</v>
      </c>
      <c r="D164" t="str">
        <f t="shared" si="11"/>
        <v>S관(3공장) [20] 분리 A형 인라인4호기</v>
      </c>
      <c r="E164">
        <f t="shared" si="10"/>
        <v>43200</v>
      </c>
      <c r="G164" s="15">
        <v>8</v>
      </c>
      <c r="H164" s="15">
        <v>16</v>
      </c>
    </row>
    <row r="165" spans="1:8" x14ac:dyDescent="0.3">
      <c r="A165" t="s">
        <v>26</v>
      </c>
      <c r="B165" t="s">
        <v>4</v>
      </c>
      <c r="C165" t="s">
        <v>71</v>
      </c>
      <c r="D165" t="str">
        <f t="shared" si="11"/>
        <v>S관(3공장) [20] 분리 A형 인라인5호기</v>
      </c>
      <c r="E165">
        <f t="shared" si="10"/>
        <v>43200</v>
      </c>
      <c r="G165" s="15">
        <v>8</v>
      </c>
      <c r="H165" s="15">
        <v>16</v>
      </c>
    </row>
    <row r="166" spans="1:8" x14ac:dyDescent="0.3">
      <c r="A166" t="s">
        <v>26</v>
      </c>
      <c r="B166" t="s">
        <v>4</v>
      </c>
      <c r="C166" t="s">
        <v>61</v>
      </c>
      <c r="D166" t="str">
        <f t="shared" si="11"/>
        <v>S관(3공장) [20] 분리 A형 인라인6호기</v>
      </c>
      <c r="E166">
        <f t="shared" si="10"/>
        <v>43200</v>
      </c>
      <c r="G166" s="15">
        <v>8</v>
      </c>
      <c r="H166" s="15">
        <v>16</v>
      </c>
    </row>
    <row r="167" spans="1:8" x14ac:dyDescent="0.3">
      <c r="A167" t="s">
        <v>26</v>
      </c>
      <c r="B167" t="s">
        <v>7</v>
      </c>
      <c r="C167" t="s">
        <v>58</v>
      </c>
      <c r="D167" t="str">
        <f t="shared" si="11"/>
        <v>S관(3공장) [45] 하이드레이션/전면검사 A형 인라인1호기</v>
      </c>
      <c r="E167">
        <f t="shared" si="10"/>
        <v>60000</v>
      </c>
      <c r="G167" s="15">
        <v>2500</v>
      </c>
      <c r="H167" s="15">
        <f>60*60</f>
        <v>3600</v>
      </c>
    </row>
    <row r="168" spans="1:8" x14ac:dyDescent="0.3">
      <c r="A168" t="s">
        <v>26</v>
      </c>
      <c r="B168" t="s">
        <v>7</v>
      </c>
      <c r="C168" t="s">
        <v>59</v>
      </c>
      <c r="D168" t="str">
        <f t="shared" si="11"/>
        <v>S관(3공장) [45] 하이드레이션/전면검사 A형 인라인2호기</v>
      </c>
      <c r="E168">
        <f t="shared" si="10"/>
        <v>60000</v>
      </c>
      <c r="G168" s="15">
        <v>2500</v>
      </c>
      <c r="H168" s="15">
        <f t="shared" ref="H168:H172" si="12">60*60</f>
        <v>3600</v>
      </c>
    </row>
    <row r="169" spans="1:8" x14ac:dyDescent="0.3">
      <c r="A169" t="s">
        <v>26</v>
      </c>
      <c r="B169" t="s">
        <v>7</v>
      </c>
      <c r="C169" t="s">
        <v>44</v>
      </c>
      <c r="D169" t="str">
        <f t="shared" si="11"/>
        <v>S관(3공장) [45] 하이드레이션/전면검사 A형 인라인3호기</v>
      </c>
      <c r="E169">
        <f t="shared" si="10"/>
        <v>60000</v>
      </c>
      <c r="G169" s="15">
        <v>2500</v>
      </c>
      <c r="H169" s="15">
        <f t="shared" si="12"/>
        <v>3600</v>
      </c>
    </row>
    <row r="170" spans="1:8" x14ac:dyDescent="0.3">
      <c r="A170" t="s">
        <v>26</v>
      </c>
      <c r="B170" t="s">
        <v>7</v>
      </c>
      <c r="C170" t="s">
        <v>27</v>
      </c>
      <c r="D170" t="str">
        <f t="shared" si="11"/>
        <v>S관(3공장) [45] 하이드레이션/전면검사 A형 인라인4호기</v>
      </c>
      <c r="E170">
        <f t="shared" si="10"/>
        <v>60000</v>
      </c>
      <c r="G170" s="15">
        <v>2500</v>
      </c>
      <c r="H170" s="15">
        <f t="shared" si="12"/>
        <v>3600</v>
      </c>
    </row>
    <row r="171" spans="1:8" x14ac:dyDescent="0.3">
      <c r="A171" t="s">
        <v>26</v>
      </c>
      <c r="B171" t="s">
        <v>7</v>
      </c>
      <c r="C171" t="s">
        <v>71</v>
      </c>
      <c r="D171" t="str">
        <f t="shared" si="11"/>
        <v>S관(3공장) [45] 하이드레이션/전면검사 A형 인라인5호기</v>
      </c>
      <c r="E171">
        <f t="shared" si="10"/>
        <v>60000</v>
      </c>
      <c r="G171" s="15">
        <v>2500</v>
      </c>
      <c r="H171" s="15">
        <f t="shared" si="12"/>
        <v>3600</v>
      </c>
    </row>
    <row r="172" spans="1:8" x14ac:dyDescent="0.3">
      <c r="A172" t="s">
        <v>26</v>
      </c>
      <c r="B172" t="s">
        <v>7</v>
      </c>
      <c r="C172" t="s">
        <v>61</v>
      </c>
      <c r="D172" t="str">
        <f t="shared" si="11"/>
        <v>S관(3공장) [45] 하이드레이션/전면검사 A형 인라인6호기</v>
      </c>
      <c r="E172">
        <f t="shared" si="10"/>
        <v>60000</v>
      </c>
      <c r="G172" s="15">
        <v>2500</v>
      </c>
      <c r="H172" s="15">
        <f t="shared" si="12"/>
        <v>3600</v>
      </c>
    </row>
    <row r="173" spans="1:8" x14ac:dyDescent="0.3">
      <c r="A173" t="s">
        <v>26</v>
      </c>
      <c r="B173" t="s">
        <v>9</v>
      </c>
      <c r="C173" t="s">
        <v>58</v>
      </c>
      <c r="D173" t="str">
        <f t="shared" si="11"/>
        <v>S관(3공장) [55] 접착/ 멸균 A형 인라인1호기</v>
      </c>
      <c r="E173">
        <f t="shared" si="10"/>
        <v>54000</v>
      </c>
      <c r="G173" s="15">
        <v>5</v>
      </c>
      <c r="H173" s="15">
        <v>8</v>
      </c>
    </row>
    <row r="174" spans="1:8" x14ac:dyDescent="0.3">
      <c r="A174" t="s">
        <v>26</v>
      </c>
      <c r="B174" t="s">
        <v>9</v>
      </c>
      <c r="C174" t="s">
        <v>59</v>
      </c>
      <c r="D174" t="str">
        <f t="shared" si="11"/>
        <v>S관(3공장) [55] 접착/ 멸균 A형 인라인2호기</v>
      </c>
      <c r="E174">
        <f t="shared" si="10"/>
        <v>54000</v>
      </c>
      <c r="G174" s="15">
        <v>5</v>
      </c>
      <c r="H174" s="15">
        <v>8</v>
      </c>
    </row>
    <row r="175" spans="1:8" x14ac:dyDescent="0.3">
      <c r="A175" t="s">
        <v>26</v>
      </c>
      <c r="B175" t="s">
        <v>9</v>
      </c>
      <c r="C175" t="s">
        <v>44</v>
      </c>
      <c r="D175" t="str">
        <f t="shared" si="11"/>
        <v>S관(3공장) [55] 접착/ 멸균 A형 인라인3호기</v>
      </c>
      <c r="E175">
        <f t="shared" si="10"/>
        <v>54000</v>
      </c>
      <c r="G175" s="15">
        <v>5</v>
      </c>
      <c r="H175" s="15">
        <v>8</v>
      </c>
    </row>
    <row r="176" spans="1:8" x14ac:dyDescent="0.3">
      <c r="A176" t="s">
        <v>26</v>
      </c>
      <c r="B176" t="s">
        <v>9</v>
      </c>
      <c r="C176" t="s">
        <v>27</v>
      </c>
      <c r="D176" t="str">
        <f t="shared" si="11"/>
        <v>S관(3공장) [55] 접착/ 멸균 A형 인라인4호기</v>
      </c>
      <c r="E176">
        <f t="shared" si="10"/>
        <v>54000</v>
      </c>
      <c r="G176" s="15">
        <v>5</v>
      </c>
      <c r="H176" s="15">
        <v>8</v>
      </c>
    </row>
    <row r="177" spans="1:8" x14ac:dyDescent="0.3">
      <c r="A177" t="s">
        <v>26</v>
      </c>
      <c r="B177" t="s">
        <v>9</v>
      </c>
      <c r="C177" t="s">
        <v>71</v>
      </c>
      <c r="D177" t="str">
        <f t="shared" si="11"/>
        <v>S관(3공장) [55] 접착/ 멸균 A형 인라인5호기</v>
      </c>
      <c r="E177">
        <f t="shared" si="10"/>
        <v>54000</v>
      </c>
      <c r="G177" s="15">
        <v>5</v>
      </c>
      <c r="H177" s="15">
        <v>8</v>
      </c>
    </row>
    <row r="178" spans="1:8" x14ac:dyDescent="0.3">
      <c r="A178" t="s">
        <v>26</v>
      </c>
      <c r="B178" t="s">
        <v>9</v>
      </c>
      <c r="C178" t="s">
        <v>61</v>
      </c>
      <c r="D178" t="str">
        <f t="shared" si="11"/>
        <v>S관(3공장) [55] 접착/ 멸균 A형 인라인6호기</v>
      </c>
      <c r="E178">
        <f t="shared" si="10"/>
        <v>54000</v>
      </c>
      <c r="G178" s="15">
        <v>5</v>
      </c>
      <c r="H178" s="15">
        <v>8</v>
      </c>
    </row>
    <row r="179" spans="1:8" x14ac:dyDescent="0.3">
      <c r="A179" t="s">
        <v>26</v>
      </c>
      <c r="B179" t="s">
        <v>16</v>
      </c>
      <c r="C179" t="s">
        <v>197</v>
      </c>
      <c r="D179" t="str">
        <f t="shared" si="11"/>
        <v>S관(3공장) [10] 사출조립 B형 조립중합1호기</v>
      </c>
      <c r="E179">
        <f t="shared" si="10"/>
        <v>76800</v>
      </c>
      <c r="G179" s="15">
        <v>8</v>
      </c>
      <c r="H179" s="15">
        <v>9</v>
      </c>
    </row>
    <row r="180" spans="1:8" x14ac:dyDescent="0.3">
      <c r="A180" t="s">
        <v>26</v>
      </c>
      <c r="B180" t="s">
        <v>16</v>
      </c>
      <c r="C180" t="s">
        <v>198</v>
      </c>
      <c r="D180" t="str">
        <f t="shared" si="11"/>
        <v>S관(3공장) [10] 사출조립 B형 조립중합2호기</v>
      </c>
      <c r="E180">
        <f t="shared" si="10"/>
        <v>76800</v>
      </c>
      <c r="G180" s="15">
        <v>8</v>
      </c>
      <c r="H180" s="15">
        <v>9</v>
      </c>
    </row>
    <row r="181" spans="1:8" x14ac:dyDescent="0.3">
      <c r="A181" t="s">
        <v>26</v>
      </c>
      <c r="B181" t="s">
        <v>16</v>
      </c>
      <c r="C181" t="s">
        <v>113</v>
      </c>
      <c r="D181" t="str">
        <f t="shared" si="11"/>
        <v>S관(3공장) [10] 사출조립 B형 조립중합3호기</v>
      </c>
      <c r="E181">
        <f t="shared" si="10"/>
        <v>76800</v>
      </c>
      <c r="G181" s="15">
        <v>8</v>
      </c>
      <c r="H181" s="15">
        <v>9</v>
      </c>
    </row>
    <row r="182" spans="1:8" x14ac:dyDescent="0.3">
      <c r="A182" t="s">
        <v>26</v>
      </c>
      <c r="B182" t="s">
        <v>16</v>
      </c>
      <c r="C182" t="s">
        <v>199</v>
      </c>
      <c r="D182" t="str">
        <f t="shared" si="11"/>
        <v>S관(3공장) [10] 사출조립 B형 조립중합4호기</v>
      </c>
      <c r="E182">
        <f t="shared" si="10"/>
        <v>76800</v>
      </c>
      <c r="G182" s="15">
        <v>8</v>
      </c>
      <c r="H182" s="15">
        <v>9</v>
      </c>
    </row>
    <row r="183" spans="1:8" x14ac:dyDescent="0.3">
      <c r="A183" t="s">
        <v>26</v>
      </c>
      <c r="B183" t="s">
        <v>16</v>
      </c>
      <c r="C183" t="s">
        <v>153</v>
      </c>
      <c r="D183" t="str">
        <f t="shared" si="11"/>
        <v>S관(3공장) [10] 사출조립 B형 조립중합5호기</v>
      </c>
      <c r="E183">
        <f t="shared" si="10"/>
        <v>76800</v>
      </c>
      <c r="G183" s="15">
        <v>8</v>
      </c>
      <c r="H183" s="15">
        <v>9</v>
      </c>
    </row>
    <row r="184" spans="1:8" x14ac:dyDescent="0.3">
      <c r="A184" t="s">
        <v>26</v>
      </c>
      <c r="B184" t="s">
        <v>16</v>
      </c>
      <c r="C184" t="s">
        <v>200</v>
      </c>
      <c r="D184" t="str">
        <f t="shared" si="11"/>
        <v>S관(3공장) [10] 사출조립 B형 조립중합6호기</v>
      </c>
      <c r="E184">
        <f t="shared" si="10"/>
        <v>76800</v>
      </c>
      <c r="G184" s="15">
        <v>8</v>
      </c>
      <c r="H184" s="15">
        <v>9</v>
      </c>
    </row>
    <row r="185" spans="1:8" x14ac:dyDescent="0.3">
      <c r="A185" t="s">
        <v>26</v>
      </c>
      <c r="B185" t="s">
        <v>16</v>
      </c>
      <c r="C185" t="s">
        <v>201</v>
      </c>
      <c r="D185" t="str">
        <f t="shared" si="11"/>
        <v>S관(3공장) [10] 사출조립 B형 조립중합7호기</v>
      </c>
      <c r="E185">
        <f t="shared" ref="E185:E216" si="13">ROUNDUP(24*60*60/H185*G185,0)</f>
        <v>76800</v>
      </c>
      <c r="G185" s="15">
        <v>8</v>
      </c>
      <c r="H185" s="15">
        <v>9</v>
      </c>
    </row>
    <row r="186" spans="1:8" x14ac:dyDescent="0.3">
      <c r="A186" t="s">
        <v>26</v>
      </c>
      <c r="B186" t="s">
        <v>16</v>
      </c>
      <c r="C186" t="s">
        <v>279</v>
      </c>
      <c r="D186" t="str">
        <f t="shared" si="11"/>
        <v>S관(3공장) [10] 사출조립 B형 조립중합8호기</v>
      </c>
      <c r="E186">
        <f t="shared" si="13"/>
        <v>76800</v>
      </c>
      <c r="G186" s="15">
        <v>8</v>
      </c>
      <c r="H186" s="15">
        <v>9</v>
      </c>
    </row>
    <row r="187" spans="1:8" x14ac:dyDescent="0.3">
      <c r="A187" t="s">
        <v>26</v>
      </c>
      <c r="B187" t="s">
        <v>4</v>
      </c>
      <c r="C187" t="s">
        <v>138</v>
      </c>
      <c r="D187" t="str">
        <f t="shared" si="11"/>
        <v>S관(3공장) [20] 분리 CAM분리1호기</v>
      </c>
      <c r="E187">
        <f t="shared" si="13"/>
        <v>39273</v>
      </c>
      <c r="G187" s="15">
        <v>5</v>
      </c>
      <c r="H187" s="15">
        <v>11</v>
      </c>
    </row>
    <row r="188" spans="1:8" x14ac:dyDescent="0.3">
      <c r="A188" t="s">
        <v>26</v>
      </c>
      <c r="B188" t="s">
        <v>4</v>
      </c>
      <c r="C188" t="s">
        <v>133</v>
      </c>
      <c r="D188" t="str">
        <f t="shared" si="11"/>
        <v>S관(3공장) [20] 분리 CAM분리2호기</v>
      </c>
      <c r="E188">
        <f t="shared" si="13"/>
        <v>39273</v>
      </c>
      <c r="G188" s="15">
        <v>5</v>
      </c>
      <c r="H188" s="15">
        <v>11</v>
      </c>
    </row>
    <row r="189" spans="1:8" x14ac:dyDescent="0.3">
      <c r="A189" t="s">
        <v>26</v>
      </c>
      <c r="B189" t="s">
        <v>4</v>
      </c>
      <c r="C189" t="s">
        <v>68</v>
      </c>
      <c r="D189" t="str">
        <f t="shared" si="11"/>
        <v>S관(3공장) [20] 분리 CAM분리3호기</v>
      </c>
      <c r="E189">
        <f t="shared" si="13"/>
        <v>39273</v>
      </c>
      <c r="G189" s="15">
        <v>5</v>
      </c>
      <c r="H189" s="15">
        <v>11</v>
      </c>
    </row>
    <row r="190" spans="1:8" x14ac:dyDescent="0.3">
      <c r="A190" t="s">
        <v>26</v>
      </c>
      <c r="B190" t="s">
        <v>4</v>
      </c>
      <c r="C190" t="s">
        <v>69</v>
      </c>
      <c r="D190" t="str">
        <f t="shared" si="11"/>
        <v>S관(3공장) [20] 분리 CAM분리4호기</v>
      </c>
      <c r="E190">
        <f t="shared" si="13"/>
        <v>39273</v>
      </c>
      <c r="G190" s="15">
        <v>5</v>
      </c>
      <c r="H190" s="15">
        <v>11</v>
      </c>
    </row>
    <row r="191" spans="1:8" x14ac:dyDescent="0.3">
      <c r="A191" t="s">
        <v>26</v>
      </c>
      <c r="B191" t="s">
        <v>4</v>
      </c>
      <c r="C191" t="s">
        <v>53</v>
      </c>
      <c r="D191" t="str">
        <f t="shared" si="11"/>
        <v>S관(3공장) [20] 분리 B형 분리수화접착1호기</v>
      </c>
      <c r="E191">
        <f t="shared" si="13"/>
        <v>53170</v>
      </c>
      <c r="G191" s="15">
        <v>8</v>
      </c>
      <c r="H191" s="15">
        <v>13</v>
      </c>
    </row>
    <row r="192" spans="1:8" x14ac:dyDescent="0.3">
      <c r="A192" t="s">
        <v>26</v>
      </c>
      <c r="B192" t="s">
        <v>4</v>
      </c>
      <c r="C192" t="s">
        <v>52</v>
      </c>
      <c r="D192" t="str">
        <f t="shared" si="11"/>
        <v>S관(3공장) [20] 분리 B형 분리수화접착2호기</v>
      </c>
      <c r="E192">
        <f t="shared" si="13"/>
        <v>53170</v>
      </c>
      <c r="G192" s="15">
        <v>8</v>
      </c>
      <c r="H192" s="15">
        <v>13</v>
      </c>
    </row>
    <row r="193" spans="1:8" x14ac:dyDescent="0.3">
      <c r="A193" t="s">
        <v>26</v>
      </c>
      <c r="B193" t="s">
        <v>4</v>
      </c>
      <c r="C193" t="s">
        <v>148</v>
      </c>
      <c r="D193" t="str">
        <f t="shared" si="11"/>
        <v>S관(3공장) [20] 분리 B형 분리수화접착3호기</v>
      </c>
      <c r="E193">
        <f t="shared" si="13"/>
        <v>53170</v>
      </c>
      <c r="G193" s="15">
        <v>8</v>
      </c>
      <c r="H193" s="15">
        <v>13</v>
      </c>
    </row>
    <row r="194" spans="1:8" x14ac:dyDescent="0.3">
      <c r="A194" t="s">
        <v>26</v>
      </c>
      <c r="B194" t="s">
        <v>4</v>
      </c>
      <c r="C194" t="s">
        <v>57</v>
      </c>
      <c r="D194" t="str">
        <f t="shared" si="11"/>
        <v>S관(3공장) [20] 분리 B형 분리수화접착4호기</v>
      </c>
      <c r="E194">
        <f t="shared" si="13"/>
        <v>53170</v>
      </c>
      <c r="G194" s="15">
        <v>8</v>
      </c>
      <c r="H194" s="15">
        <v>13</v>
      </c>
    </row>
    <row r="195" spans="1:8" x14ac:dyDescent="0.3">
      <c r="A195" t="s">
        <v>26</v>
      </c>
      <c r="B195" t="s">
        <v>4</v>
      </c>
      <c r="C195" t="s">
        <v>75</v>
      </c>
      <c r="D195" t="str">
        <f t="shared" si="11"/>
        <v>S관(3공장) [20] 분리 B형 분리수화접착5호기</v>
      </c>
      <c r="E195">
        <f t="shared" si="13"/>
        <v>53170</v>
      </c>
      <c r="G195" s="15">
        <v>8</v>
      </c>
      <c r="H195" s="15">
        <v>13</v>
      </c>
    </row>
    <row r="196" spans="1:8" x14ac:dyDescent="0.3">
      <c r="A196" t="s">
        <v>26</v>
      </c>
      <c r="B196" t="s">
        <v>4</v>
      </c>
      <c r="C196" t="s">
        <v>131</v>
      </c>
      <c r="D196" t="str">
        <f t="shared" ref="D196:D217" si="14">A196&amp;" "&amp;B196&amp;" "&amp;C196</f>
        <v>S관(3공장) [20] 분리 B형 분리수화접착6호기</v>
      </c>
      <c r="E196">
        <f t="shared" si="13"/>
        <v>53170</v>
      </c>
      <c r="G196" s="15">
        <v>8</v>
      </c>
      <c r="H196" s="15">
        <v>13</v>
      </c>
    </row>
    <row r="197" spans="1:8" x14ac:dyDescent="0.3">
      <c r="A197" t="s">
        <v>26</v>
      </c>
      <c r="B197" t="s">
        <v>4</v>
      </c>
      <c r="C197" t="s">
        <v>132</v>
      </c>
      <c r="D197" t="str">
        <f t="shared" si="14"/>
        <v>S관(3공장) [20] 분리 B형 분리수화접착7호기</v>
      </c>
      <c r="E197">
        <f t="shared" si="13"/>
        <v>53170</v>
      </c>
      <c r="G197" s="15">
        <v>8</v>
      </c>
      <c r="H197" s="15">
        <v>13</v>
      </c>
    </row>
    <row r="198" spans="1:8" x14ac:dyDescent="0.3">
      <c r="A198" t="s">
        <v>26</v>
      </c>
      <c r="B198" t="s">
        <v>4</v>
      </c>
      <c r="C198" t="s">
        <v>151</v>
      </c>
      <c r="D198" t="str">
        <f t="shared" si="14"/>
        <v>S관(3공장) [20] 분리 B형 분리수화접착8호기</v>
      </c>
      <c r="E198">
        <f t="shared" si="13"/>
        <v>53170</v>
      </c>
      <c r="G198" s="15">
        <v>8</v>
      </c>
      <c r="H198" s="15">
        <v>13</v>
      </c>
    </row>
    <row r="199" spans="1:8" x14ac:dyDescent="0.3">
      <c r="A199" t="s">
        <v>26</v>
      </c>
      <c r="B199" t="s">
        <v>7</v>
      </c>
      <c r="C199" t="s">
        <v>53</v>
      </c>
      <c r="D199" t="str">
        <f t="shared" si="14"/>
        <v>S관(3공장) [45] 하이드레이션/전면검사 B형 분리수화접착1호기</v>
      </c>
      <c r="E199">
        <f t="shared" si="13"/>
        <v>60000</v>
      </c>
      <c r="G199" s="15">
        <v>2500</v>
      </c>
      <c r="H199" s="15">
        <f t="shared" ref="H199:H206" si="15">60*60</f>
        <v>3600</v>
      </c>
    </row>
    <row r="200" spans="1:8" x14ac:dyDescent="0.3">
      <c r="A200" t="s">
        <v>26</v>
      </c>
      <c r="B200" t="s">
        <v>7</v>
      </c>
      <c r="C200" t="s">
        <v>52</v>
      </c>
      <c r="D200" t="str">
        <f t="shared" si="14"/>
        <v>S관(3공장) [45] 하이드레이션/전면검사 B형 분리수화접착2호기</v>
      </c>
      <c r="E200">
        <f t="shared" si="13"/>
        <v>60000</v>
      </c>
      <c r="G200" s="15">
        <v>2500</v>
      </c>
      <c r="H200" s="15">
        <f t="shared" si="15"/>
        <v>3600</v>
      </c>
    </row>
    <row r="201" spans="1:8" x14ac:dyDescent="0.3">
      <c r="A201" t="s">
        <v>26</v>
      </c>
      <c r="B201" t="s">
        <v>7</v>
      </c>
      <c r="C201" t="s">
        <v>148</v>
      </c>
      <c r="D201" t="str">
        <f t="shared" si="14"/>
        <v>S관(3공장) [45] 하이드레이션/전면검사 B형 분리수화접착3호기</v>
      </c>
      <c r="E201">
        <f t="shared" si="13"/>
        <v>60000</v>
      </c>
      <c r="G201" s="15">
        <v>2500</v>
      </c>
      <c r="H201" s="15">
        <f t="shared" si="15"/>
        <v>3600</v>
      </c>
    </row>
    <row r="202" spans="1:8" x14ac:dyDescent="0.3">
      <c r="A202" t="s">
        <v>26</v>
      </c>
      <c r="B202" t="s">
        <v>7</v>
      </c>
      <c r="C202" t="s">
        <v>57</v>
      </c>
      <c r="D202" t="str">
        <f t="shared" si="14"/>
        <v>S관(3공장) [45] 하이드레이션/전면검사 B형 분리수화접착4호기</v>
      </c>
      <c r="E202">
        <f t="shared" si="13"/>
        <v>60000</v>
      </c>
      <c r="G202" s="15">
        <v>2500</v>
      </c>
      <c r="H202" s="15">
        <f t="shared" si="15"/>
        <v>3600</v>
      </c>
    </row>
    <row r="203" spans="1:8" x14ac:dyDescent="0.3">
      <c r="A203" t="s">
        <v>26</v>
      </c>
      <c r="B203" t="s">
        <v>7</v>
      </c>
      <c r="C203" t="s">
        <v>75</v>
      </c>
      <c r="D203" t="str">
        <f t="shared" si="14"/>
        <v>S관(3공장) [45] 하이드레이션/전면검사 B형 분리수화접착5호기</v>
      </c>
      <c r="E203">
        <f t="shared" si="13"/>
        <v>60000</v>
      </c>
      <c r="G203" s="15">
        <v>2500</v>
      </c>
      <c r="H203" s="15">
        <f t="shared" si="15"/>
        <v>3600</v>
      </c>
    </row>
    <row r="204" spans="1:8" x14ac:dyDescent="0.3">
      <c r="A204" t="s">
        <v>26</v>
      </c>
      <c r="B204" t="s">
        <v>7</v>
      </c>
      <c r="C204" t="s">
        <v>131</v>
      </c>
      <c r="D204" t="str">
        <f t="shared" si="14"/>
        <v>S관(3공장) [45] 하이드레이션/전면검사 B형 분리수화접착6호기</v>
      </c>
      <c r="E204">
        <f t="shared" si="13"/>
        <v>60000</v>
      </c>
      <c r="G204" s="15">
        <v>2500</v>
      </c>
      <c r="H204" s="15">
        <f t="shared" si="15"/>
        <v>3600</v>
      </c>
    </row>
    <row r="205" spans="1:8" x14ac:dyDescent="0.3">
      <c r="A205" t="s">
        <v>26</v>
      </c>
      <c r="B205" t="s">
        <v>7</v>
      </c>
      <c r="C205" t="s">
        <v>132</v>
      </c>
      <c r="D205" t="str">
        <f t="shared" si="14"/>
        <v>S관(3공장) [45] 하이드레이션/전면검사 B형 분리수화접착7호기</v>
      </c>
      <c r="E205">
        <f t="shared" si="13"/>
        <v>60000</v>
      </c>
      <c r="G205" s="15">
        <v>2500</v>
      </c>
      <c r="H205" s="15">
        <f t="shared" si="15"/>
        <v>3600</v>
      </c>
    </row>
    <row r="206" spans="1:8" x14ac:dyDescent="0.3">
      <c r="A206" t="s">
        <v>26</v>
      </c>
      <c r="B206" t="s">
        <v>7</v>
      </c>
      <c r="C206" t="s">
        <v>151</v>
      </c>
      <c r="D206" t="str">
        <f t="shared" si="14"/>
        <v>S관(3공장) [45] 하이드레이션/전면검사 B형 분리수화접착8호기</v>
      </c>
      <c r="E206">
        <f t="shared" si="13"/>
        <v>60000</v>
      </c>
      <c r="G206" s="15">
        <v>2500</v>
      </c>
      <c r="H206" s="15">
        <f t="shared" si="15"/>
        <v>3600</v>
      </c>
    </row>
    <row r="207" spans="1:8" x14ac:dyDescent="0.3">
      <c r="A207" t="s">
        <v>26</v>
      </c>
      <c r="B207" t="s">
        <v>9</v>
      </c>
      <c r="C207" t="s">
        <v>53</v>
      </c>
      <c r="D207" t="str">
        <f t="shared" si="14"/>
        <v>S관(3공장) [55] 접착/ 멸균 B형 분리수화접착1호기</v>
      </c>
      <c r="E207">
        <f t="shared" si="13"/>
        <v>72000</v>
      </c>
      <c r="G207" s="15">
        <v>5</v>
      </c>
      <c r="H207" s="15">
        <v>6</v>
      </c>
    </row>
    <row r="208" spans="1:8" x14ac:dyDescent="0.3">
      <c r="A208" t="s">
        <v>26</v>
      </c>
      <c r="B208" t="s">
        <v>9</v>
      </c>
      <c r="C208" t="s">
        <v>52</v>
      </c>
      <c r="D208" t="str">
        <f t="shared" si="14"/>
        <v>S관(3공장) [55] 접착/ 멸균 B형 분리수화접착2호기</v>
      </c>
      <c r="E208">
        <f t="shared" si="13"/>
        <v>72000</v>
      </c>
      <c r="G208" s="15">
        <v>5</v>
      </c>
      <c r="H208" s="15">
        <v>6</v>
      </c>
    </row>
    <row r="209" spans="1:8" x14ac:dyDescent="0.3">
      <c r="A209" t="s">
        <v>26</v>
      </c>
      <c r="B209" t="s">
        <v>9</v>
      </c>
      <c r="C209" t="s">
        <v>148</v>
      </c>
      <c r="D209" t="str">
        <f t="shared" si="14"/>
        <v>S관(3공장) [55] 접착/ 멸균 B형 분리수화접착3호기</v>
      </c>
      <c r="E209">
        <f t="shared" si="13"/>
        <v>72000</v>
      </c>
      <c r="G209" s="15">
        <v>5</v>
      </c>
      <c r="H209" s="15">
        <v>6</v>
      </c>
    </row>
    <row r="210" spans="1:8" x14ac:dyDescent="0.3">
      <c r="A210" t="s">
        <v>26</v>
      </c>
      <c r="B210" t="s">
        <v>9</v>
      </c>
      <c r="C210" t="s">
        <v>57</v>
      </c>
      <c r="D210" t="str">
        <f t="shared" si="14"/>
        <v>S관(3공장) [55] 접착/ 멸균 B형 분리수화접착4호기</v>
      </c>
      <c r="E210">
        <f t="shared" si="13"/>
        <v>72000</v>
      </c>
      <c r="G210" s="15">
        <v>5</v>
      </c>
      <c r="H210" s="15">
        <v>6</v>
      </c>
    </row>
    <row r="211" spans="1:8" x14ac:dyDescent="0.3">
      <c r="A211" t="s">
        <v>26</v>
      </c>
      <c r="B211" t="s">
        <v>9</v>
      </c>
      <c r="C211" t="s">
        <v>75</v>
      </c>
      <c r="D211" t="str">
        <f t="shared" si="14"/>
        <v>S관(3공장) [55] 접착/ 멸균 B형 분리수화접착5호기</v>
      </c>
      <c r="E211">
        <f t="shared" si="13"/>
        <v>72000</v>
      </c>
      <c r="G211" s="15">
        <v>5</v>
      </c>
      <c r="H211" s="15">
        <v>6</v>
      </c>
    </row>
    <row r="212" spans="1:8" x14ac:dyDescent="0.3">
      <c r="A212" t="s">
        <v>26</v>
      </c>
      <c r="B212" t="s">
        <v>9</v>
      </c>
      <c r="C212" t="s">
        <v>131</v>
      </c>
      <c r="D212" t="str">
        <f t="shared" si="14"/>
        <v>S관(3공장) [55] 접착/ 멸균 B형 분리수화접착6호기</v>
      </c>
      <c r="E212">
        <f t="shared" si="13"/>
        <v>72000</v>
      </c>
      <c r="G212" s="15">
        <v>5</v>
      </c>
      <c r="H212" s="15">
        <v>6</v>
      </c>
    </row>
    <row r="213" spans="1:8" x14ac:dyDescent="0.3">
      <c r="A213" t="s">
        <v>26</v>
      </c>
      <c r="B213" t="s">
        <v>9</v>
      </c>
      <c r="C213" t="s">
        <v>132</v>
      </c>
      <c r="D213" t="str">
        <f t="shared" si="14"/>
        <v>S관(3공장) [55] 접착/ 멸균 B형 분리수화접착7호기</v>
      </c>
      <c r="E213">
        <f t="shared" si="13"/>
        <v>72000</v>
      </c>
      <c r="G213" s="15">
        <v>5</v>
      </c>
      <c r="H213" s="15">
        <v>6</v>
      </c>
    </row>
    <row r="214" spans="1:8" x14ac:dyDescent="0.3">
      <c r="A214" t="s">
        <v>26</v>
      </c>
      <c r="B214" t="s">
        <v>9</v>
      </c>
      <c r="C214" t="s">
        <v>151</v>
      </c>
      <c r="D214" t="str">
        <f t="shared" si="14"/>
        <v>S관(3공장) [55] 접착/ 멸균 B형 분리수화접착8호기</v>
      </c>
      <c r="E214">
        <f t="shared" si="13"/>
        <v>72000</v>
      </c>
      <c r="G214" s="15">
        <v>5</v>
      </c>
      <c r="H214" s="15">
        <v>6</v>
      </c>
    </row>
    <row r="215" spans="1:8" x14ac:dyDescent="0.3">
      <c r="A215" t="s">
        <v>26</v>
      </c>
      <c r="B215" t="s">
        <v>7</v>
      </c>
      <c r="C215" t="s">
        <v>65</v>
      </c>
      <c r="D215" t="str">
        <f t="shared" si="14"/>
        <v>S관(3공장) [45] 하이드레이션/전면검사 S관 실리콘 자동수화기</v>
      </c>
      <c r="E215">
        <f t="shared" si="13"/>
        <v>240000</v>
      </c>
      <c r="G215" s="15">
        <v>10000</v>
      </c>
      <c r="H215" s="15">
        <f t="shared" ref="H215" si="16">60*60</f>
        <v>3600</v>
      </c>
    </row>
    <row r="216" spans="1:8" x14ac:dyDescent="0.3">
      <c r="A216" t="s">
        <v>26</v>
      </c>
      <c r="B216" t="s">
        <v>9</v>
      </c>
      <c r="C216" t="s">
        <v>282</v>
      </c>
      <c r="D216" t="str">
        <f t="shared" si="14"/>
        <v>S관(3공장) [55] 접착/ 멸균 S관 멸균1호기</v>
      </c>
      <c r="E216">
        <f t="shared" si="13"/>
        <v>752000</v>
      </c>
      <c r="G216" s="15">
        <v>47000</v>
      </c>
      <c r="H216" s="15">
        <f>60*90</f>
        <v>5400</v>
      </c>
    </row>
    <row r="217" spans="1:8" x14ac:dyDescent="0.3">
      <c r="A217" t="s">
        <v>26</v>
      </c>
      <c r="B217" t="s">
        <v>12</v>
      </c>
      <c r="C217" t="s">
        <v>28</v>
      </c>
      <c r="D217" t="str">
        <f t="shared" si="14"/>
        <v>S관(3공장) [80] 누수/규격검사 누수/규격검사(3공장)</v>
      </c>
      <c r="E217">
        <f>G217*H217</f>
        <v>72512</v>
      </c>
      <c r="G217" s="15">
        <v>36256</v>
      </c>
      <c r="H217" s="15">
        <v>2</v>
      </c>
    </row>
  </sheetData>
  <autoFilter ref="A1:W217" xr:uid="{7E1BDE98-5618-4973-9FA8-F2E5E91F5231}">
    <filterColumn colId="11" showButton="0"/>
    <filterColumn colId="12" showButton="0"/>
    <filterColumn colId="15" showButton="0"/>
    <filterColumn colId="18" showButton="0"/>
    <filterColumn colId="19" showButton="0"/>
    <filterColumn colId="20" showButton="0"/>
    <filterColumn colId="21" showButton="0"/>
  </autoFilter>
  <mergeCells count="15">
    <mergeCell ref="S1:W1"/>
    <mergeCell ref="G1:G2"/>
    <mergeCell ref="A1:A2"/>
    <mergeCell ref="B1:B2"/>
    <mergeCell ref="C1:C2"/>
    <mergeCell ref="E1:E2"/>
    <mergeCell ref="H1:H2"/>
    <mergeCell ref="J1:J2"/>
    <mergeCell ref="R1:R2"/>
    <mergeCell ref="K1:K2"/>
    <mergeCell ref="L1:N1"/>
    <mergeCell ref="O1:O2"/>
    <mergeCell ref="P1:Q1"/>
    <mergeCell ref="I1:I2"/>
    <mergeCell ref="D1:D2"/>
  </mergeCells>
  <phoneticPr fontId="1" type="noConversion"/>
  <conditionalFormatting sqref="V3">
    <cfRule type="cellIs" dxfId="0" priority="1" operator="lessThan">
      <formula>0.85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00A4-7220-45CA-A9F1-7EF3D0336028}">
  <dimension ref="A1:C267"/>
  <sheetViews>
    <sheetView workbookViewId="0">
      <selection activeCell="C26" sqref="C26"/>
    </sheetView>
  </sheetViews>
  <sheetFormatPr defaultRowHeight="16.5" x14ac:dyDescent="0.3"/>
  <cols>
    <col min="1" max="1" width="10.625" bestFit="1" customWidth="1"/>
    <col min="2" max="2" width="26.5" bestFit="1" customWidth="1"/>
    <col min="3" max="3" width="27.25" bestFit="1" customWidth="1"/>
  </cols>
  <sheetData>
    <row r="1" spans="1:3" x14ac:dyDescent="0.3">
      <c r="A1" t="s">
        <v>0</v>
      </c>
      <c r="B1" t="s">
        <v>1</v>
      </c>
      <c r="C1" t="s">
        <v>206</v>
      </c>
    </row>
    <row r="2" spans="1:3" x14ac:dyDescent="0.3">
      <c r="A2" t="s">
        <v>3</v>
      </c>
      <c r="B2" t="s">
        <v>16</v>
      </c>
      <c r="C2" t="s">
        <v>118</v>
      </c>
    </row>
    <row r="3" spans="1:3" x14ac:dyDescent="0.3">
      <c r="A3" t="s">
        <v>3</v>
      </c>
      <c r="B3" t="s">
        <v>16</v>
      </c>
      <c r="C3" t="s">
        <v>119</v>
      </c>
    </row>
    <row r="4" spans="1:3" x14ac:dyDescent="0.3">
      <c r="A4" t="s">
        <v>3</v>
      </c>
      <c r="B4" t="s">
        <v>16</v>
      </c>
      <c r="C4" t="s">
        <v>156</v>
      </c>
    </row>
    <row r="5" spans="1:3" x14ac:dyDescent="0.3">
      <c r="A5" t="s">
        <v>3</v>
      </c>
      <c r="B5" t="s">
        <v>16</v>
      </c>
      <c r="C5" t="s">
        <v>109</v>
      </c>
    </row>
    <row r="6" spans="1:3" x14ac:dyDescent="0.3">
      <c r="A6" t="s">
        <v>3</v>
      </c>
      <c r="B6" t="s">
        <v>16</v>
      </c>
      <c r="C6" t="s">
        <v>157</v>
      </c>
    </row>
    <row r="7" spans="1:3" x14ac:dyDescent="0.3">
      <c r="A7" t="s">
        <v>3</v>
      </c>
      <c r="B7" t="s">
        <v>16</v>
      </c>
      <c r="C7" t="s">
        <v>158</v>
      </c>
    </row>
    <row r="8" spans="1:3" x14ac:dyDescent="0.3">
      <c r="A8" t="s">
        <v>3</v>
      </c>
      <c r="B8" t="s">
        <v>16</v>
      </c>
      <c r="C8" t="s">
        <v>136</v>
      </c>
    </row>
    <row r="9" spans="1:3" x14ac:dyDescent="0.3">
      <c r="A9" t="s">
        <v>3</v>
      </c>
      <c r="B9" t="s">
        <v>16</v>
      </c>
      <c r="C9" t="s">
        <v>31</v>
      </c>
    </row>
    <row r="10" spans="1:3" x14ac:dyDescent="0.3">
      <c r="A10" t="s">
        <v>3</v>
      </c>
      <c r="B10" t="s">
        <v>16</v>
      </c>
      <c r="C10" t="s">
        <v>105</v>
      </c>
    </row>
    <row r="11" spans="1:3" x14ac:dyDescent="0.3">
      <c r="A11" t="s">
        <v>3</v>
      </c>
      <c r="B11" t="s">
        <v>16</v>
      </c>
      <c r="C11" t="s">
        <v>100</v>
      </c>
    </row>
    <row r="12" spans="1:3" x14ac:dyDescent="0.3">
      <c r="A12" t="s">
        <v>3</v>
      </c>
      <c r="B12" t="s">
        <v>16</v>
      </c>
      <c r="C12" t="s">
        <v>32</v>
      </c>
    </row>
    <row r="13" spans="1:3" x14ac:dyDescent="0.3">
      <c r="A13" t="s">
        <v>3</v>
      </c>
      <c r="B13" t="s">
        <v>16</v>
      </c>
      <c r="C13" t="s">
        <v>116</v>
      </c>
    </row>
    <row r="14" spans="1:3" x14ac:dyDescent="0.3">
      <c r="A14" t="s">
        <v>3</v>
      </c>
      <c r="B14" t="s">
        <v>4</v>
      </c>
      <c r="C14" t="s">
        <v>159</v>
      </c>
    </row>
    <row r="15" spans="1:3" x14ac:dyDescent="0.3">
      <c r="A15" t="s">
        <v>3</v>
      </c>
      <c r="B15" t="s">
        <v>4</v>
      </c>
      <c r="C15" t="s">
        <v>160</v>
      </c>
    </row>
    <row r="16" spans="1:3" x14ac:dyDescent="0.3">
      <c r="A16" t="s">
        <v>3</v>
      </c>
      <c r="B16" t="s">
        <v>4</v>
      </c>
      <c r="C16" t="s">
        <v>124</v>
      </c>
    </row>
    <row r="17" spans="1:3" x14ac:dyDescent="0.3">
      <c r="A17" t="s">
        <v>3</v>
      </c>
      <c r="B17" t="s">
        <v>4</v>
      </c>
      <c r="C17" t="s">
        <v>130</v>
      </c>
    </row>
    <row r="18" spans="1:3" x14ac:dyDescent="0.3">
      <c r="A18" t="s">
        <v>3</v>
      </c>
      <c r="B18" t="s">
        <v>4</v>
      </c>
      <c r="C18" t="s">
        <v>102</v>
      </c>
    </row>
    <row r="19" spans="1:3" x14ac:dyDescent="0.3">
      <c r="A19" t="s">
        <v>3</v>
      </c>
      <c r="B19" t="s">
        <v>4</v>
      </c>
      <c r="C19" t="s">
        <v>161</v>
      </c>
    </row>
    <row r="20" spans="1:3" x14ac:dyDescent="0.3">
      <c r="A20" t="s">
        <v>3</v>
      </c>
      <c r="B20" t="s">
        <v>4</v>
      </c>
      <c r="C20" t="s">
        <v>162</v>
      </c>
    </row>
    <row r="21" spans="1:3" x14ac:dyDescent="0.3">
      <c r="A21" t="s">
        <v>3</v>
      </c>
      <c r="B21" t="s">
        <v>4</v>
      </c>
      <c r="C21" t="s">
        <v>5</v>
      </c>
    </row>
    <row r="22" spans="1:3" x14ac:dyDescent="0.3">
      <c r="A22" t="s">
        <v>3</v>
      </c>
      <c r="B22" t="s">
        <v>4</v>
      </c>
      <c r="C22" t="s">
        <v>163</v>
      </c>
    </row>
    <row r="23" spans="1:3" x14ac:dyDescent="0.3">
      <c r="A23" t="s">
        <v>3</v>
      </c>
      <c r="B23" t="s">
        <v>4</v>
      </c>
      <c r="C23" t="s">
        <v>112</v>
      </c>
    </row>
    <row r="24" spans="1:3" x14ac:dyDescent="0.3">
      <c r="A24" t="s">
        <v>3</v>
      </c>
      <c r="B24" t="s">
        <v>4</v>
      </c>
      <c r="C24" t="s">
        <v>18</v>
      </c>
    </row>
    <row r="25" spans="1:3" x14ac:dyDescent="0.3">
      <c r="A25" t="s">
        <v>3</v>
      </c>
      <c r="B25" t="s">
        <v>4</v>
      </c>
      <c r="C25" t="s">
        <v>97</v>
      </c>
    </row>
    <row r="26" spans="1:3" x14ac:dyDescent="0.3">
      <c r="A26" t="s">
        <v>3</v>
      </c>
      <c r="B26" t="s">
        <v>7</v>
      </c>
      <c r="C26" t="s">
        <v>164</v>
      </c>
    </row>
    <row r="27" spans="1:3" x14ac:dyDescent="0.3">
      <c r="A27" t="s">
        <v>3</v>
      </c>
      <c r="B27" t="s">
        <v>7</v>
      </c>
      <c r="C27" t="s">
        <v>89</v>
      </c>
    </row>
    <row r="28" spans="1:3" x14ac:dyDescent="0.3">
      <c r="A28" t="s">
        <v>3</v>
      </c>
      <c r="B28" t="s">
        <v>7</v>
      </c>
      <c r="C28" t="s">
        <v>66</v>
      </c>
    </row>
    <row r="29" spans="1:3" x14ac:dyDescent="0.3">
      <c r="A29" t="s">
        <v>3</v>
      </c>
      <c r="B29" t="s">
        <v>7</v>
      </c>
      <c r="C29" t="s">
        <v>115</v>
      </c>
    </row>
    <row r="30" spans="1:3" x14ac:dyDescent="0.3">
      <c r="A30" t="s">
        <v>3</v>
      </c>
      <c r="B30" t="s">
        <v>7</v>
      </c>
      <c r="C30" t="s">
        <v>11</v>
      </c>
    </row>
    <row r="31" spans="1:3" x14ac:dyDescent="0.3">
      <c r="A31" t="s">
        <v>3</v>
      </c>
      <c r="B31" t="s">
        <v>7</v>
      </c>
      <c r="C31" t="s">
        <v>49</v>
      </c>
    </row>
    <row r="32" spans="1:3" x14ac:dyDescent="0.3">
      <c r="A32" t="s">
        <v>3</v>
      </c>
      <c r="B32" t="s">
        <v>7</v>
      </c>
      <c r="C32" t="s">
        <v>64</v>
      </c>
    </row>
    <row r="33" spans="1:3" x14ac:dyDescent="0.3">
      <c r="A33" t="s">
        <v>3</v>
      </c>
      <c r="B33" t="s">
        <v>7</v>
      </c>
      <c r="C33" t="s">
        <v>80</v>
      </c>
    </row>
    <row r="34" spans="1:3" x14ac:dyDescent="0.3">
      <c r="A34" t="s">
        <v>3</v>
      </c>
      <c r="B34" t="s">
        <v>9</v>
      </c>
      <c r="C34" t="s">
        <v>207</v>
      </c>
    </row>
    <row r="35" spans="1:3" x14ac:dyDescent="0.3">
      <c r="A35" t="s">
        <v>3</v>
      </c>
      <c r="B35" t="s">
        <v>9</v>
      </c>
      <c r="C35" t="s">
        <v>83</v>
      </c>
    </row>
    <row r="36" spans="1:3" x14ac:dyDescent="0.3">
      <c r="A36" t="s">
        <v>3</v>
      </c>
      <c r="B36" t="s">
        <v>9</v>
      </c>
      <c r="C36" t="s">
        <v>41</v>
      </c>
    </row>
    <row r="37" spans="1:3" x14ac:dyDescent="0.3">
      <c r="A37" t="s">
        <v>3</v>
      </c>
      <c r="B37" t="s">
        <v>9</v>
      </c>
      <c r="C37" t="s">
        <v>19</v>
      </c>
    </row>
    <row r="38" spans="1:3" x14ac:dyDescent="0.3">
      <c r="A38" t="s">
        <v>3</v>
      </c>
      <c r="B38" t="s">
        <v>9</v>
      </c>
      <c r="C38" t="s">
        <v>33</v>
      </c>
    </row>
    <row r="39" spans="1:3" x14ac:dyDescent="0.3">
      <c r="A39" t="s">
        <v>3</v>
      </c>
      <c r="B39" t="s">
        <v>9</v>
      </c>
      <c r="C39" t="s">
        <v>141</v>
      </c>
    </row>
    <row r="40" spans="1:3" x14ac:dyDescent="0.3">
      <c r="A40" t="s">
        <v>3</v>
      </c>
      <c r="B40" t="s">
        <v>9</v>
      </c>
      <c r="C40" t="s">
        <v>81</v>
      </c>
    </row>
    <row r="41" spans="1:3" x14ac:dyDescent="0.3">
      <c r="A41" t="s">
        <v>3</v>
      </c>
      <c r="B41" t="s">
        <v>9</v>
      </c>
      <c r="C41" t="s">
        <v>60</v>
      </c>
    </row>
    <row r="42" spans="1:3" x14ac:dyDescent="0.3">
      <c r="A42" t="s">
        <v>3</v>
      </c>
      <c r="B42" t="s">
        <v>9</v>
      </c>
      <c r="C42" t="s">
        <v>135</v>
      </c>
    </row>
    <row r="43" spans="1:3" x14ac:dyDescent="0.3">
      <c r="A43" t="s">
        <v>3</v>
      </c>
      <c r="B43" t="s">
        <v>9</v>
      </c>
      <c r="C43" t="s">
        <v>88</v>
      </c>
    </row>
    <row r="44" spans="1:3" x14ac:dyDescent="0.3">
      <c r="A44" t="s">
        <v>3</v>
      </c>
      <c r="B44" t="s">
        <v>9</v>
      </c>
      <c r="C44" t="s">
        <v>127</v>
      </c>
    </row>
    <row r="45" spans="1:3" x14ac:dyDescent="0.3">
      <c r="A45" t="s">
        <v>3</v>
      </c>
      <c r="B45" t="s">
        <v>9</v>
      </c>
      <c r="C45" t="s">
        <v>70</v>
      </c>
    </row>
    <row r="46" spans="1:3" x14ac:dyDescent="0.3">
      <c r="A46" t="s">
        <v>3</v>
      </c>
      <c r="B46" t="s">
        <v>9</v>
      </c>
      <c r="C46" t="s">
        <v>63</v>
      </c>
    </row>
    <row r="47" spans="1:3" x14ac:dyDescent="0.3">
      <c r="A47" t="s">
        <v>3</v>
      </c>
      <c r="B47" t="s">
        <v>9</v>
      </c>
      <c r="C47" t="s">
        <v>139</v>
      </c>
    </row>
    <row r="48" spans="1:3" x14ac:dyDescent="0.3">
      <c r="A48" t="s">
        <v>3</v>
      </c>
      <c r="B48" t="s">
        <v>9</v>
      </c>
      <c r="C48" t="s">
        <v>149</v>
      </c>
    </row>
    <row r="49" spans="1:3" x14ac:dyDescent="0.3">
      <c r="A49" t="s">
        <v>3</v>
      </c>
      <c r="B49" t="s">
        <v>9</v>
      </c>
      <c r="C49" t="s">
        <v>15</v>
      </c>
    </row>
    <row r="50" spans="1:3" x14ac:dyDescent="0.3">
      <c r="A50" t="s">
        <v>3</v>
      </c>
      <c r="B50" t="s">
        <v>9</v>
      </c>
      <c r="C50" t="s">
        <v>134</v>
      </c>
    </row>
    <row r="51" spans="1:3" x14ac:dyDescent="0.3">
      <c r="A51" t="s">
        <v>3</v>
      </c>
      <c r="B51" t="s">
        <v>9</v>
      </c>
      <c r="C51" t="s">
        <v>98</v>
      </c>
    </row>
    <row r="52" spans="1:3" x14ac:dyDescent="0.3">
      <c r="A52" t="s">
        <v>3</v>
      </c>
      <c r="B52" t="s">
        <v>12</v>
      </c>
      <c r="C52" t="s">
        <v>76</v>
      </c>
    </row>
    <row r="53" spans="1:3" x14ac:dyDescent="0.3">
      <c r="A53" t="s">
        <v>3</v>
      </c>
      <c r="B53" t="s">
        <v>208</v>
      </c>
      <c r="C53" t="s">
        <v>209</v>
      </c>
    </row>
    <row r="54" spans="1:3" x14ac:dyDescent="0.3">
      <c r="A54" t="s">
        <v>3</v>
      </c>
      <c r="B54" t="s">
        <v>208</v>
      </c>
      <c r="C54" t="s">
        <v>210</v>
      </c>
    </row>
    <row r="55" spans="1:3" x14ac:dyDescent="0.3">
      <c r="A55" t="s">
        <v>3</v>
      </c>
      <c r="B55" t="s">
        <v>208</v>
      </c>
      <c r="C55" t="s">
        <v>211</v>
      </c>
    </row>
    <row r="56" spans="1:3" x14ac:dyDescent="0.3">
      <c r="A56" t="s">
        <v>3</v>
      </c>
      <c r="B56" t="s">
        <v>208</v>
      </c>
      <c r="C56" t="s">
        <v>212</v>
      </c>
    </row>
    <row r="57" spans="1:3" x14ac:dyDescent="0.3">
      <c r="A57" t="s">
        <v>3</v>
      </c>
      <c r="B57" t="s">
        <v>208</v>
      </c>
      <c r="C57" t="s">
        <v>213</v>
      </c>
    </row>
    <row r="58" spans="1:3" x14ac:dyDescent="0.3">
      <c r="A58" t="s">
        <v>3</v>
      </c>
      <c r="B58" t="s">
        <v>208</v>
      </c>
      <c r="C58" t="s">
        <v>214</v>
      </c>
    </row>
    <row r="59" spans="1:3" x14ac:dyDescent="0.3">
      <c r="A59" t="s">
        <v>3</v>
      </c>
      <c r="B59" t="s">
        <v>208</v>
      </c>
      <c r="C59" t="s">
        <v>215</v>
      </c>
    </row>
    <row r="60" spans="1:3" x14ac:dyDescent="0.3">
      <c r="A60" t="s">
        <v>3</v>
      </c>
      <c r="B60" t="s">
        <v>208</v>
      </c>
      <c r="C60" t="s">
        <v>216</v>
      </c>
    </row>
    <row r="61" spans="1:3" x14ac:dyDescent="0.3">
      <c r="A61" t="s">
        <v>3</v>
      </c>
      <c r="B61" t="s">
        <v>208</v>
      </c>
      <c r="C61" t="s">
        <v>217</v>
      </c>
    </row>
    <row r="62" spans="1:3" x14ac:dyDescent="0.3">
      <c r="A62" t="s">
        <v>3</v>
      </c>
      <c r="B62" t="s">
        <v>208</v>
      </c>
      <c r="C62" t="s">
        <v>218</v>
      </c>
    </row>
    <row r="63" spans="1:3" x14ac:dyDescent="0.3">
      <c r="A63" t="s">
        <v>3</v>
      </c>
      <c r="B63" t="s">
        <v>208</v>
      </c>
      <c r="C63" t="s">
        <v>219</v>
      </c>
    </row>
    <row r="64" spans="1:3" x14ac:dyDescent="0.3">
      <c r="A64" t="s">
        <v>3</v>
      </c>
      <c r="B64" t="s">
        <v>208</v>
      </c>
      <c r="C64" t="s">
        <v>220</v>
      </c>
    </row>
    <row r="65" spans="1:3" x14ac:dyDescent="0.3">
      <c r="A65" t="s">
        <v>3</v>
      </c>
      <c r="B65" t="s">
        <v>208</v>
      </c>
      <c r="C65" t="s">
        <v>221</v>
      </c>
    </row>
    <row r="66" spans="1:3" x14ac:dyDescent="0.3">
      <c r="A66" t="s">
        <v>3</v>
      </c>
      <c r="B66" t="s">
        <v>208</v>
      </c>
      <c r="C66" t="s">
        <v>222</v>
      </c>
    </row>
    <row r="67" spans="1:3" x14ac:dyDescent="0.3">
      <c r="A67" t="s">
        <v>3</v>
      </c>
      <c r="B67" t="s">
        <v>208</v>
      </c>
      <c r="C67" t="s">
        <v>223</v>
      </c>
    </row>
    <row r="68" spans="1:3" x14ac:dyDescent="0.3">
      <c r="A68" t="s">
        <v>3</v>
      </c>
      <c r="B68" t="s">
        <v>208</v>
      </c>
      <c r="C68" t="s">
        <v>224</v>
      </c>
    </row>
    <row r="69" spans="1:3" x14ac:dyDescent="0.3">
      <c r="A69" t="s">
        <v>3</v>
      </c>
      <c r="B69" t="s">
        <v>208</v>
      </c>
      <c r="C69" t="s">
        <v>225</v>
      </c>
    </row>
    <row r="70" spans="1:3" x14ac:dyDescent="0.3">
      <c r="A70" t="s">
        <v>3</v>
      </c>
      <c r="B70" t="s">
        <v>208</v>
      </c>
      <c r="C70" t="s">
        <v>226</v>
      </c>
    </row>
    <row r="71" spans="1:3" x14ac:dyDescent="0.3">
      <c r="A71" t="s">
        <v>3</v>
      </c>
      <c r="B71" t="s">
        <v>208</v>
      </c>
      <c r="C71" t="s">
        <v>227</v>
      </c>
    </row>
    <row r="72" spans="1:3" x14ac:dyDescent="0.3">
      <c r="A72" t="s">
        <v>6</v>
      </c>
      <c r="B72" t="s">
        <v>16</v>
      </c>
      <c r="C72" t="s">
        <v>104</v>
      </c>
    </row>
    <row r="73" spans="1:3" x14ac:dyDescent="0.3">
      <c r="A73" t="s">
        <v>6</v>
      </c>
      <c r="B73" t="s">
        <v>16</v>
      </c>
      <c r="C73" t="s">
        <v>111</v>
      </c>
    </row>
    <row r="74" spans="1:3" x14ac:dyDescent="0.3">
      <c r="A74" t="s">
        <v>6</v>
      </c>
      <c r="B74" t="s">
        <v>16</v>
      </c>
      <c r="C74" t="s">
        <v>172</v>
      </c>
    </row>
    <row r="75" spans="1:3" x14ac:dyDescent="0.3">
      <c r="A75" t="s">
        <v>6</v>
      </c>
      <c r="B75" t="s">
        <v>16</v>
      </c>
      <c r="C75" t="s">
        <v>165</v>
      </c>
    </row>
    <row r="76" spans="1:3" x14ac:dyDescent="0.3">
      <c r="A76" t="s">
        <v>6</v>
      </c>
      <c r="B76" t="s">
        <v>16</v>
      </c>
      <c r="C76" t="s">
        <v>166</v>
      </c>
    </row>
    <row r="77" spans="1:3" x14ac:dyDescent="0.3">
      <c r="A77" t="s">
        <v>6</v>
      </c>
      <c r="B77" t="s">
        <v>16</v>
      </c>
      <c r="C77" t="s">
        <v>173</v>
      </c>
    </row>
    <row r="78" spans="1:3" x14ac:dyDescent="0.3">
      <c r="A78" t="s">
        <v>6</v>
      </c>
      <c r="B78" t="s">
        <v>16</v>
      </c>
      <c r="C78" t="s">
        <v>35</v>
      </c>
    </row>
    <row r="79" spans="1:3" x14ac:dyDescent="0.3">
      <c r="A79" t="s">
        <v>6</v>
      </c>
      <c r="B79" t="s">
        <v>16</v>
      </c>
      <c r="C79" t="s">
        <v>150</v>
      </c>
    </row>
    <row r="80" spans="1:3" x14ac:dyDescent="0.3">
      <c r="A80" t="s">
        <v>6</v>
      </c>
      <c r="B80" t="s">
        <v>16</v>
      </c>
      <c r="C80" t="s">
        <v>152</v>
      </c>
    </row>
    <row r="81" spans="1:3" x14ac:dyDescent="0.3">
      <c r="A81" t="s">
        <v>6</v>
      </c>
      <c r="B81" t="s">
        <v>16</v>
      </c>
      <c r="C81" t="s">
        <v>167</v>
      </c>
    </row>
    <row r="82" spans="1:3" x14ac:dyDescent="0.3">
      <c r="A82" t="s">
        <v>6</v>
      </c>
      <c r="B82" t="s">
        <v>16</v>
      </c>
      <c r="C82" t="s">
        <v>168</v>
      </c>
    </row>
    <row r="83" spans="1:3" x14ac:dyDescent="0.3">
      <c r="A83" t="s">
        <v>6</v>
      </c>
      <c r="B83" t="s">
        <v>16</v>
      </c>
      <c r="C83" t="s">
        <v>169</v>
      </c>
    </row>
    <row r="84" spans="1:3" x14ac:dyDescent="0.3">
      <c r="A84" t="s">
        <v>6</v>
      </c>
      <c r="B84" t="s">
        <v>16</v>
      </c>
      <c r="C84" t="s">
        <v>129</v>
      </c>
    </row>
    <row r="85" spans="1:3" x14ac:dyDescent="0.3">
      <c r="A85" t="s">
        <v>6</v>
      </c>
      <c r="B85" t="s">
        <v>16</v>
      </c>
      <c r="C85" t="s">
        <v>170</v>
      </c>
    </row>
    <row r="86" spans="1:3" x14ac:dyDescent="0.3">
      <c r="A86" t="s">
        <v>6</v>
      </c>
      <c r="B86" t="s">
        <v>16</v>
      </c>
      <c r="C86" t="s">
        <v>110</v>
      </c>
    </row>
    <row r="87" spans="1:3" x14ac:dyDescent="0.3">
      <c r="A87" t="s">
        <v>6</v>
      </c>
      <c r="B87" t="s">
        <v>16</v>
      </c>
      <c r="C87" t="s">
        <v>103</v>
      </c>
    </row>
    <row r="88" spans="1:3" x14ac:dyDescent="0.3">
      <c r="A88" t="s">
        <v>6</v>
      </c>
      <c r="B88" t="s">
        <v>16</v>
      </c>
      <c r="C88" t="s">
        <v>145</v>
      </c>
    </row>
    <row r="89" spans="1:3" x14ac:dyDescent="0.3">
      <c r="A89" t="s">
        <v>6</v>
      </c>
      <c r="B89" t="s">
        <v>16</v>
      </c>
      <c r="C89" t="s">
        <v>84</v>
      </c>
    </row>
    <row r="90" spans="1:3" x14ac:dyDescent="0.3">
      <c r="A90" t="s">
        <v>6</v>
      </c>
      <c r="B90" t="s">
        <v>16</v>
      </c>
      <c r="C90" t="s">
        <v>86</v>
      </c>
    </row>
    <row r="91" spans="1:3" x14ac:dyDescent="0.3">
      <c r="A91" t="s">
        <v>6</v>
      </c>
      <c r="B91" t="s">
        <v>16</v>
      </c>
      <c r="C91" t="s">
        <v>126</v>
      </c>
    </row>
    <row r="92" spans="1:3" x14ac:dyDescent="0.3">
      <c r="A92" t="s">
        <v>6</v>
      </c>
      <c r="B92" t="s">
        <v>16</v>
      </c>
      <c r="C92" t="s">
        <v>123</v>
      </c>
    </row>
    <row r="93" spans="1:3" x14ac:dyDescent="0.3">
      <c r="A93" t="s">
        <v>6</v>
      </c>
      <c r="B93" t="s">
        <v>16</v>
      </c>
      <c r="C93" t="s">
        <v>171</v>
      </c>
    </row>
    <row r="94" spans="1:3" x14ac:dyDescent="0.3">
      <c r="A94" t="s">
        <v>6</v>
      </c>
      <c r="B94" t="s">
        <v>16</v>
      </c>
      <c r="C94" t="s">
        <v>143</v>
      </c>
    </row>
    <row r="95" spans="1:3" x14ac:dyDescent="0.3">
      <c r="A95" t="s">
        <v>6</v>
      </c>
      <c r="B95" t="s">
        <v>16</v>
      </c>
      <c r="C95" t="s">
        <v>114</v>
      </c>
    </row>
    <row r="96" spans="1:3" x14ac:dyDescent="0.3">
      <c r="A96" t="s">
        <v>6</v>
      </c>
      <c r="B96" t="s">
        <v>16</v>
      </c>
      <c r="C96" t="s">
        <v>144</v>
      </c>
    </row>
    <row r="97" spans="1:3" x14ac:dyDescent="0.3">
      <c r="A97" t="s">
        <v>6</v>
      </c>
      <c r="B97" t="s">
        <v>16</v>
      </c>
      <c r="C97" t="s">
        <v>42</v>
      </c>
    </row>
    <row r="98" spans="1:3" x14ac:dyDescent="0.3">
      <c r="A98" t="s">
        <v>6</v>
      </c>
      <c r="B98" t="s">
        <v>16</v>
      </c>
      <c r="C98" t="s">
        <v>17</v>
      </c>
    </row>
    <row r="99" spans="1:3" x14ac:dyDescent="0.3">
      <c r="A99" t="s">
        <v>6</v>
      </c>
      <c r="B99" t="s">
        <v>16</v>
      </c>
      <c r="C99" t="s">
        <v>140</v>
      </c>
    </row>
    <row r="100" spans="1:3" x14ac:dyDescent="0.3">
      <c r="A100" t="s">
        <v>6</v>
      </c>
      <c r="B100" t="s">
        <v>16</v>
      </c>
      <c r="C100" t="s">
        <v>56</v>
      </c>
    </row>
    <row r="101" spans="1:3" x14ac:dyDescent="0.3">
      <c r="A101" t="s">
        <v>6</v>
      </c>
      <c r="B101" t="s">
        <v>16</v>
      </c>
      <c r="C101" t="s">
        <v>142</v>
      </c>
    </row>
    <row r="102" spans="1:3" x14ac:dyDescent="0.3">
      <c r="A102" t="s">
        <v>6</v>
      </c>
      <c r="B102" t="s">
        <v>16</v>
      </c>
      <c r="C102" t="s">
        <v>40</v>
      </c>
    </row>
    <row r="103" spans="1:3" x14ac:dyDescent="0.3">
      <c r="A103" t="s">
        <v>6</v>
      </c>
      <c r="B103" t="s">
        <v>16</v>
      </c>
      <c r="C103" t="s">
        <v>147</v>
      </c>
    </row>
    <row r="104" spans="1:3" x14ac:dyDescent="0.3">
      <c r="A104" t="s">
        <v>6</v>
      </c>
      <c r="B104" t="s">
        <v>16</v>
      </c>
      <c r="C104" t="s">
        <v>106</v>
      </c>
    </row>
    <row r="105" spans="1:3" x14ac:dyDescent="0.3">
      <c r="A105" t="s">
        <v>6</v>
      </c>
      <c r="B105" t="s">
        <v>16</v>
      </c>
      <c r="C105" t="s">
        <v>120</v>
      </c>
    </row>
    <row r="106" spans="1:3" x14ac:dyDescent="0.3">
      <c r="A106" t="s">
        <v>6</v>
      </c>
      <c r="B106" t="s">
        <v>16</v>
      </c>
      <c r="C106" t="s">
        <v>122</v>
      </c>
    </row>
    <row r="107" spans="1:3" x14ac:dyDescent="0.3">
      <c r="A107" t="s">
        <v>6</v>
      </c>
      <c r="B107" t="s">
        <v>16</v>
      </c>
      <c r="C107" t="s">
        <v>146</v>
      </c>
    </row>
    <row r="108" spans="1:3" x14ac:dyDescent="0.3">
      <c r="A108" t="s">
        <v>6</v>
      </c>
      <c r="B108" t="s">
        <v>16</v>
      </c>
      <c r="C108" t="s">
        <v>121</v>
      </c>
    </row>
    <row r="109" spans="1:3" x14ac:dyDescent="0.3">
      <c r="A109" t="s">
        <v>6</v>
      </c>
      <c r="B109" t="s">
        <v>16</v>
      </c>
      <c r="C109" t="s">
        <v>67</v>
      </c>
    </row>
    <row r="110" spans="1:3" x14ac:dyDescent="0.3">
      <c r="A110" t="s">
        <v>6</v>
      </c>
      <c r="B110" t="s">
        <v>4</v>
      </c>
      <c r="C110" t="s">
        <v>174</v>
      </c>
    </row>
    <row r="111" spans="1:3" x14ac:dyDescent="0.3">
      <c r="A111" t="s">
        <v>6</v>
      </c>
      <c r="B111" t="s">
        <v>4</v>
      </c>
      <c r="C111" t="s">
        <v>87</v>
      </c>
    </row>
    <row r="112" spans="1:3" x14ac:dyDescent="0.3">
      <c r="A112" t="s">
        <v>6</v>
      </c>
      <c r="B112" t="s">
        <v>4</v>
      </c>
      <c r="C112" t="s">
        <v>175</v>
      </c>
    </row>
    <row r="113" spans="1:3" x14ac:dyDescent="0.3">
      <c r="A113" t="s">
        <v>6</v>
      </c>
      <c r="B113" t="s">
        <v>4</v>
      </c>
      <c r="C113" t="s">
        <v>93</v>
      </c>
    </row>
    <row r="114" spans="1:3" x14ac:dyDescent="0.3">
      <c r="A114" t="s">
        <v>6</v>
      </c>
      <c r="B114" t="s">
        <v>4</v>
      </c>
      <c r="C114" t="s">
        <v>176</v>
      </c>
    </row>
    <row r="115" spans="1:3" x14ac:dyDescent="0.3">
      <c r="A115" t="s">
        <v>6</v>
      </c>
      <c r="B115" t="s">
        <v>4</v>
      </c>
      <c r="C115" t="s">
        <v>177</v>
      </c>
    </row>
    <row r="116" spans="1:3" x14ac:dyDescent="0.3">
      <c r="A116" t="s">
        <v>6</v>
      </c>
      <c r="B116" t="s">
        <v>4</v>
      </c>
      <c r="C116" t="s">
        <v>99</v>
      </c>
    </row>
    <row r="117" spans="1:3" x14ac:dyDescent="0.3">
      <c r="A117" t="s">
        <v>6</v>
      </c>
      <c r="B117" t="s">
        <v>4</v>
      </c>
      <c r="C117" t="s">
        <v>55</v>
      </c>
    </row>
    <row r="118" spans="1:3" x14ac:dyDescent="0.3">
      <c r="A118" t="s">
        <v>6</v>
      </c>
      <c r="B118" t="s">
        <v>4</v>
      </c>
      <c r="C118" t="s">
        <v>178</v>
      </c>
    </row>
    <row r="119" spans="1:3" x14ac:dyDescent="0.3">
      <c r="A119" t="s">
        <v>6</v>
      </c>
      <c r="B119" t="s">
        <v>4</v>
      </c>
      <c r="C119" t="s">
        <v>34</v>
      </c>
    </row>
    <row r="120" spans="1:3" x14ac:dyDescent="0.3">
      <c r="A120" t="s">
        <v>6</v>
      </c>
      <c r="B120" t="s">
        <v>4</v>
      </c>
      <c r="C120" t="s">
        <v>96</v>
      </c>
    </row>
    <row r="121" spans="1:3" x14ac:dyDescent="0.3">
      <c r="A121" t="s">
        <v>6</v>
      </c>
      <c r="B121" t="s">
        <v>4</v>
      </c>
      <c r="C121" t="s">
        <v>107</v>
      </c>
    </row>
    <row r="122" spans="1:3" x14ac:dyDescent="0.3">
      <c r="A122" t="s">
        <v>6</v>
      </c>
      <c r="B122" t="s">
        <v>4</v>
      </c>
      <c r="C122" t="s">
        <v>79</v>
      </c>
    </row>
    <row r="123" spans="1:3" x14ac:dyDescent="0.3">
      <c r="A123" t="s">
        <v>6</v>
      </c>
      <c r="B123" t="s">
        <v>4</v>
      </c>
      <c r="C123" t="s">
        <v>117</v>
      </c>
    </row>
    <row r="124" spans="1:3" x14ac:dyDescent="0.3">
      <c r="A124" t="s">
        <v>6</v>
      </c>
      <c r="B124" t="s">
        <v>4</v>
      </c>
      <c r="C124" t="s">
        <v>94</v>
      </c>
    </row>
    <row r="125" spans="1:3" x14ac:dyDescent="0.3">
      <c r="A125" t="s">
        <v>6</v>
      </c>
      <c r="B125" t="s">
        <v>4</v>
      </c>
      <c r="C125" t="s">
        <v>29</v>
      </c>
    </row>
    <row r="126" spans="1:3" x14ac:dyDescent="0.3">
      <c r="A126" t="s">
        <v>6</v>
      </c>
      <c r="B126" t="s">
        <v>4</v>
      </c>
      <c r="C126" t="s">
        <v>108</v>
      </c>
    </row>
    <row r="127" spans="1:3" x14ac:dyDescent="0.3">
      <c r="A127" t="s">
        <v>6</v>
      </c>
      <c r="B127" t="s">
        <v>4</v>
      </c>
      <c r="C127" t="s">
        <v>23</v>
      </c>
    </row>
    <row r="128" spans="1:3" x14ac:dyDescent="0.3">
      <c r="A128" t="s">
        <v>6</v>
      </c>
      <c r="B128" t="s">
        <v>4</v>
      </c>
      <c r="C128" t="s">
        <v>54</v>
      </c>
    </row>
    <row r="129" spans="1:3" x14ac:dyDescent="0.3">
      <c r="A129" t="s">
        <v>6</v>
      </c>
      <c r="B129" t="s">
        <v>4</v>
      </c>
      <c r="C129" t="s">
        <v>90</v>
      </c>
    </row>
    <row r="130" spans="1:3" x14ac:dyDescent="0.3">
      <c r="A130" t="s">
        <v>6</v>
      </c>
      <c r="B130" t="s">
        <v>4</v>
      </c>
      <c r="C130" t="s">
        <v>48</v>
      </c>
    </row>
    <row r="131" spans="1:3" x14ac:dyDescent="0.3">
      <c r="A131" t="s">
        <v>6</v>
      </c>
      <c r="B131" t="s">
        <v>4</v>
      </c>
      <c r="C131" t="s">
        <v>91</v>
      </c>
    </row>
    <row r="132" spans="1:3" x14ac:dyDescent="0.3">
      <c r="A132" t="s">
        <v>6</v>
      </c>
      <c r="B132" t="s">
        <v>4</v>
      </c>
      <c r="C132" t="s">
        <v>95</v>
      </c>
    </row>
    <row r="133" spans="1:3" x14ac:dyDescent="0.3">
      <c r="A133" t="s">
        <v>6</v>
      </c>
      <c r="B133" t="s">
        <v>4</v>
      </c>
      <c r="C133" t="s">
        <v>74</v>
      </c>
    </row>
    <row r="134" spans="1:3" x14ac:dyDescent="0.3">
      <c r="A134" t="s">
        <v>6</v>
      </c>
      <c r="B134" t="s">
        <v>4</v>
      </c>
      <c r="C134" t="s">
        <v>82</v>
      </c>
    </row>
    <row r="135" spans="1:3" x14ac:dyDescent="0.3">
      <c r="A135" t="s">
        <v>6</v>
      </c>
      <c r="B135" t="s">
        <v>4</v>
      </c>
      <c r="C135" t="s">
        <v>179</v>
      </c>
    </row>
    <row r="136" spans="1:3" x14ac:dyDescent="0.3">
      <c r="A136" t="s">
        <v>6</v>
      </c>
      <c r="B136" t="s">
        <v>4</v>
      </c>
      <c r="C136" t="s">
        <v>180</v>
      </c>
    </row>
    <row r="137" spans="1:3" x14ac:dyDescent="0.3">
      <c r="A137" t="s">
        <v>6</v>
      </c>
      <c r="B137" t="s">
        <v>4</v>
      </c>
      <c r="C137" t="s">
        <v>181</v>
      </c>
    </row>
    <row r="138" spans="1:3" x14ac:dyDescent="0.3">
      <c r="A138" t="s">
        <v>6</v>
      </c>
      <c r="B138" t="s">
        <v>4</v>
      </c>
      <c r="C138" t="s">
        <v>51</v>
      </c>
    </row>
    <row r="139" spans="1:3" x14ac:dyDescent="0.3">
      <c r="A139" t="s">
        <v>6</v>
      </c>
      <c r="B139" t="s">
        <v>4</v>
      </c>
      <c r="C139" t="s">
        <v>182</v>
      </c>
    </row>
    <row r="140" spans="1:3" x14ac:dyDescent="0.3">
      <c r="A140" t="s">
        <v>6</v>
      </c>
      <c r="B140" t="s">
        <v>4</v>
      </c>
      <c r="C140" t="s">
        <v>228</v>
      </c>
    </row>
    <row r="141" spans="1:3" x14ac:dyDescent="0.3">
      <c r="A141" t="s">
        <v>6</v>
      </c>
      <c r="B141" t="s">
        <v>7</v>
      </c>
      <c r="C141" t="s">
        <v>183</v>
      </c>
    </row>
    <row r="142" spans="1:3" x14ac:dyDescent="0.3">
      <c r="A142" t="s">
        <v>6</v>
      </c>
      <c r="B142" t="s">
        <v>7</v>
      </c>
      <c r="C142" t="s">
        <v>184</v>
      </c>
    </row>
    <row r="143" spans="1:3" x14ac:dyDescent="0.3">
      <c r="A143" t="s">
        <v>6</v>
      </c>
      <c r="B143" t="s">
        <v>7</v>
      </c>
      <c r="C143" t="s">
        <v>85</v>
      </c>
    </row>
    <row r="144" spans="1:3" x14ac:dyDescent="0.3">
      <c r="A144" t="s">
        <v>6</v>
      </c>
      <c r="B144" t="s">
        <v>7</v>
      </c>
      <c r="C144" t="s">
        <v>24</v>
      </c>
    </row>
    <row r="145" spans="1:3" x14ac:dyDescent="0.3">
      <c r="A145" t="s">
        <v>6</v>
      </c>
      <c r="B145" t="s">
        <v>7</v>
      </c>
      <c r="C145" t="s">
        <v>8</v>
      </c>
    </row>
    <row r="146" spans="1:3" x14ac:dyDescent="0.3">
      <c r="A146" t="s">
        <v>6</v>
      </c>
      <c r="B146" t="s">
        <v>7</v>
      </c>
      <c r="C146" t="s">
        <v>77</v>
      </c>
    </row>
    <row r="147" spans="1:3" x14ac:dyDescent="0.3">
      <c r="A147" t="s">
        <v>6</v>
      </c>
      <c r="B147" t="s">
        <v>7</v>
      </c>
      <c r="C147" t="s">
        <v>38</v>
      </c>
    </row>
    <row r="148" spans="1:3" x14ac:dyDescent="0.3">
      <c r="A148" t="s">
        <v>6</v>
      </c>
      <c r="B148" t="s">
        <v>7</v>
      </c>
      <c r="C148" t="s">
        <v>185</v>
      </c>
    </row>
    <row r="149" spans="1:3" x14ac:dyDescent="0.3">
      <c r="A149" t="s">
        <v>6</v>
      </c>
      <c r="B149" t="s">
        <v>7</v>
      </c>
      <c r="C149" t="s">
        <v>186</v>
      </c>
    </row>
    <row r="150" spans="1:3" x14ac:dyDescent="0.3">
      <c r="A150" t="s">
        <v>6</v>
      </c>
      <c r="B150" t="s">
        <v>7</v>
      </c>
      <c r="C150" t="s">
        <v>187</v>
      </c>
    </row>
    <row r="151" spans="1:3" x14ac:dyDescent="0.3">
      <c r="A151" t="s">
        <v>6</v>
      </c>
      <c r="B151" t="s">
        <v>7</v>
      </c>
      <c r="C151" t="s">
        <v>229</v>
      </c>
    </row>
    <row r="152" spans="1:3" x14ac:dyDescent="0.3">
      <c r="A152" t="s">
        <v>6</v>
      </c>
      <c r="B152" t="s">
        <v>7</v>
      </c>
      <c r="C152" t="s">
        <v>188</v>
      </c>
    </row>
    <row r="153" spans="1:3" x14ac:dyDescent="0.3">
      <c r="A153" t="s">
        <v>6</v>
      </c>
      <c r="B153" t="s">
        <v>7</v>
      </c>
      <c r="C153" t="s">
        <v>43</v>
      </c>
    </row>
    <row r="154" spans="1:3" x14ac:dyDescent="0.3">
      <c r="A154" t="s">
        <v>6</v>
      </c>
      <c r="B154" t="s">
        <v>7</v>
      </c>
      <c r="C154" t="s">
        <v>14</v>
      </c>
    </row>
    <row r="155" spans="1:3" x14ac:dyDescent="0.3">
      <c r="A155" t="s">
        <v>6</v>
      </c>
      <c r="B155" t="s">
        <v>7</v>
      </c>
      <c r="C155" t="s">
        <v>92</v>
      </c>
    </row>
    <row r="156" spans="1:3" x14ac:dyDescent="0.3">
      <c r="A156" t="s">
        <v>6</v>
      </c>
      <c r="B156" t="s">
        <v>7</v>
      </c>
      <c r="C156" t="s">
        <v>72</v>
      </c>
    </row>
    <row r="157" spans="1:3" x14ac:dyDescent="0.3">
      <c r="A157" t="s">
        <v>6</v>
      </c>
      <c r="B157" t="s">
        <v>7</v>
      </c>
      <c r="C157" t="s">
        <v>125</v>
      </c>
    </row>
    <row r="158" spans="1:3" x14ac:dyDescent="0.3">
      <c r="A158" t="s">
        <v>6</v>
      </c>
      <c r="B158" t="s">
        <v>7</v>
      </c>
      <c r="C158" t="s">
        <v>154</v>
      </c>
    </row>
    <row r="159" spans="1:3" x14ac:dyDescent="0.3">
      <c r="A159" t="s">
        <v>6</v>
      </c>
      <c r="B159" t="s">
        <v>7</v>
      </c>
      <c r="C159" t="s">
        <v>137</v>
      </c>
    </row>
    <row r="160" spans="1:3" x14ac:dyDescent="0.3">
      <c r="A160" t="s">
        <v>6</v>
      </c>
      <c r="B160" t="s">
        <v>7</v>
      </c>
      <c r="C160" t="s">
        <v>128</v>
      </c>
    </row>
    <row r="161" spans="1:3" x14ac:dyDescent="0.3">
      <c r="A161" t="s">
        <v>6</v>
      </c>
      <c r="B161" t="s">
        <v>7</v>
      </c>
      <c r="C161" t="s">
        <v>37</v>
      </c>
    </row>
    <row r="162" spans="1:3" x14ac:dyDescent="0.3">
      <c r="A162" t="s">
        <v>6</v>
      </c>
      <c r="B162" t="s">
        <v>7</v>
      </c>
      <c r="C162" t="s">
        <v>189</v>
      </c>
    </row>
    <row r="163" spans="1:3" x14ac:dyDescent="0.3">
      <c r="A163" t="s">
        <v>6</v>
      </c>
      <c r="B163" t="s">
        <v>9</v>
      </c>
      <c r="C163" t="s">
        <v>230</v>
      </c>
    </row>
    <row r="164" spans="1:3" x14ac:dyDescent="0.3">
      <c r="A164" t="s">
        <v>6</v>
      </c>
      <c r="B164" t="s">
        <v>9</v>
      </c>
      <c r="C164" t="s">
        <v>231</v>
      </c>
    </row>
    <row r="165" spans="1:3" x14ac:dyDescent="0.3">
      <c r="A165" t="s">
        <v>6</v>
      </c>
      <c r="B165" t="s">
        <v>9</v>
      </c>
      <c r="C165" t="s">
        <v>190</v>
      </c>
    </row>
    <row r="166" spans="1:3" x14ac:dyDescent="0.3">
      <c r="A166" t="s">
        <v>6</v>
      </c>
      <c r="B166" t="s">
        <v>9</v>
      </c>
      <c r="C166" t="s">
        <v>191</v>
      </c>
    </row>
    <row r="167" spans="1:3" x14ac:dyDescent="0.3">
      <c r="A167" t="s">
        <v>6</v>
      </c>
      <c r="B167" t="s">
        <v>9</v>
      </c>
      <c r="C167" t="s">
        <v>192</v>
      </c>
    </row>
    <row r="168" spans="1:3" x14ac:dyDescent="0.3">
      <c r="A168" t="s">
        <v>6</v>
      </c>
      <c r="B168" t="s">
        <v>9</v>
      </c>
      <c r="C168" t="s">
        <v>193</v>
      </c>
    </row>
    <row r="169" spans="1:3" x14ac:dyDescent="0.3">
      <c r="A169" t="s">
        <v>6</v>
      </c>
      <c r="B169" t="s">
        <v>9</v>
      </c>
      <c r="C169" t="s">
        <v>194</v>
      </c>
    </row>
    <row r="170" spans="1:3" x14ac:dyDescent="0.3">
      <c r="A170" t="s">
        <v>6</v>
      </c>
      <c r="B170" t="s">
        <v>9</v>
      </c>
      <c r="C170" t="s">
        <v>195</v>
      </c>
    </row>
    <row r="171" spans="1:3" x14ac:dyDescent="0.3">
      <c r="A171" t="s">
        <v>6</v>
      </c>
      <c r="B171" t="s">
        <v>9</v>
      </c>
      <c r="C171" t="s">
        <v>196</v>
      </c>
    </row>
    <row r="172" spans="1:3" x14ac:dyDescent="0.3">
      <c r="A172" t="s">
        <v>6</v>
      </c>
      <c r="B172" t="s">
        <v>9</v>
      </c>
      <c r="C172" t="s">
        <v>25</v>
      </c>
    </row>
    <row r="173" spans="1:3" x14ac:dyDescent="0.3">
      <c r="A173" t="s">
        <v>6</v>
      </c>
      <c r="B173" t="s">
        <v>9</v>
      </c>
      <c r="C173" t="s">
        <v>47</v>
      </c>
    </row>
    <row r="174" spans="1:3" x14ac:dyDescent="0.3">
      <c r="A174" t="s">
        <v>6</v>
      </c>
      <c r="B174" t="s">
        <v>9</v>
      </c>
      <c r="C174" t="s">
        <v>46</v>
      </c>
    </row>
    <row r="175" spans="1:3" x14ac:dyDescent="0.3">
      <c r="A175" t="s">
        <v>6</v>
      </c>
      <c r="B175" t="s">
        <v>9</v>
      </c>
      <c r="C175" t="s">
        <v>62</v>
      </c>
    </row>
    <row r="176" spans="1:3" x14ac:dyDescent="0.3">
      <c r="A176" t="s">
        <v>6</v>
      </c>
      <c r="B176" t="s">
        <v>9</v>
      </c>
      <c r="C176" t="s">
        <v>73</v>
      </c>
    </row>
    <row r="177" spans="1:3" x14ac:dyDescent="0.3">
      <c r="A177" t="s">
        <v>6</v>
      </c>
      <c r="B177" t="s">
        <v>9</v>
      </c>
      <c r="C177" t="s">
        <v>78</v>
      </c>
    </row>
    <row r="178" spans="1:3" x14ac:dyDescent="0.3">
      <c r="A178" t="s">
        <v>6</v>
      </c>
      <c r="B178" t="s">
        <v>9</v>
      </c>
      <c r="C178" t="s">
        <v>36</v>
      </c>
    </row>
    <row r="179" spans="1:3" x14ac:dyDescent="0.3">
      <c r="A179" t="s">
        <v>6</v>
      </c>
      <c r="B179" t="s">
        <v>9</v>
      </c>
      <c r="C179" t="s">
        <v>21</v>
      </c>
    </row>
    <row r="180" spans="1:3" x14ac:dyDescent="0.3">
      <c r="A180" t="s">
        <v>6</v>
      </c>
      <c r="B180" t="s">
        <v>9</v>
      </c>
      <c r="C180" t="s">
        <v>10</v>
      </c>
    </row>
    <row r="181" spans="1:3" x14ac:dyDescent="0.3">
      <c r="A181" t="s">
        <v>6</v>
      </c>
      <c r="B181" t="s">
        <v>9</v>
      </c>
      <c r="C181" t="s">
        <v>22</v>
      </c>
    </row>
    <row r="182" spans="1:3" x14ac:dyDescent="0.3">
      <c r="A182" t="s">
        <v>6</v>
      </c>
      <c r="B182" t="s">
        <v>9</v>
      </c>
      <c r="C182" t="s">
        <v>30</v>
      </c>
    </row>
    <row r="183" spans="1:3" x14ac:dyDescent="0.3">
      <c r="A183" t="s">
        <v>6</v>
      </c>
      <c r="B183" t="s">
        <v>9</v>
      </c>
      <c r="C183" t="s">
        <v>39</v>
      </c>
    </row>
    <row r="184" spans="1:3" x14ac:dyDescent="0.3">
      <c r="A184" t="s">
        <v>6</v>
      </c>
      <c r="B184" t="s">
        <v>9</v>
      </c>
      <c r="C184" t="s">
        <v>50</v>
      </c>
    </row>
    <row r="185" spans="1:3" x14ac:dyDescent="0.3">
      <c r="A185" t="s">
        <v>6</v>
      </c>
      <c r="B185" t="s">
        <v>9</v>
      </c>
      <c r="C185" t="s">
        <v>20</v>
      </c>
    </row>
    <row r="186" spans="1:3" x14ac:dyDescent="0.3">
      <c r="A186" t="s">
        <v>6</v>
      </c>
      <c r="B186" t="s">
        <v>9</v>
      </c>
      <c r="C186" t="s">
        <v>45</v>
      </c>
    </row>
    <row r="187" spans="1:3" x14ac:dyDescent="0.3">
      <c r="A187" t="s">
        <v>6</v>
      </c>
      <c r="B187" t="s">
        <v>12</v>
      </c>
      <c r="C187" t="s">
        <v>13</v>
      </c>
    </row>
    <row r="188" spans="1:3" x14ac:dyDescent="0.3">
      <c r="A188" t="s">
        <v>6</v>
      </c>
      <c r="B188" t="s">
        <v>208</v>
      </c>
      <c r="C188" t="s">
        <v>232</v>
      </c>
    </row>
    <row r="189" spans="1:3" x14ac:dyDescent="0.3">
      <c r="A189" t="s">
        <v>6</v>
      </c>
      <c r="B189" t="s">
        <v>208</v>
      </c>
      <c r="C189" t="s">
        <v>233</v>
      </c>
    </row>
    <row r="190" spans="1:3" x14ac:dyDescent="0.3">
      <c r="A190" t="s">
        <v>6</v>
      </c>
      <c r="B190" t="s">
        <v>208</v>
      </c>
      <c r="C190" t="s">
        <v>234</v>
      </c>
    </row>
    <row r="191" spans="1:3" x14ac:dyDescent="0.3">
      <c r="A191" t="s">
        <v>6</v>
      </c>
      <c r="B191" t="s">
        <v>208</v>
      </c>
      <c r="C191" t="s">
        <v>235</v>
      </c>
    </row>
    <row r="192" spans="1:3" x14ac:dyDescent="0.3">
      <c r="A192" t="s">
        <v>6</v>
      </c>
      <c r="B192" t="s">
        <v>208</v>
      </c>
      <c r="C192" t="s">
        <v>236</v>
      </c>
    </row>
    <row r="193" spans="1:3" x14ac:dyDescent="0.3">
      <c r="A193" t="s">
        <v>6</v>
      </c>
      <c r="B193" t="s">
        <v>208</v>
      </c>
      <c r="C193" t="s">
        <v>237</v>
      </c>
    </row>
    <row r="194" spans="1:3" x14ac:dyDescent="0.3">
      <c r="A194" t="s">
        <v>6</v>
      </c>
      <c r="B194" t="s">
        <v>208</v>
      </c>
      <c r="C194" t="s">
        <v>238</v>
      </c>
    </row>
    <row r="195" spans="1:3" x14ac:dyDescent="0.3">
      <c r="A195" t="s">
        <v>6</v>
      </c>
      <c r="B195" t="s">
        <v>208</v>
      </c>
      <c r="C195" t="s">
        <v>239</v>
      </c>
    </row>
    <row r="196" spans="1:3" x14ac:dyDescent="0.3">
      <c r="A196" t="s">
        <v>6</v>
      </c>
      <c r="B196" t="s">
        <v>208</v>
      </c>
      <c r="C196" t="s">
        <v>240</v>
      </c>
    </row>
    <row r="197" spans="1:3" x14ac:dyDescent="0.3">
      <c r="A197" t="s">
        <v>6</v>
      </c>
      <c r="B197" t="s">
        <v>208</v>
      </c>
      <c r="C197" t="s">
        <v>241</v>
      </c>
    </row>
    <row r="198" spans="1:3" x14ac:dyDescent="0.3">
      <c r="A198" t="s">
        <v>6</v>
      </c>
      <c r="B198" t="s">
        <v>208</v>
      </c>
      <c r="C198" t="s">
        <v>242</v>
      </c>
    </row>
    <row r="199" spans="1:3" x14ac:dyDescent="0.3">
      <c r="A199" t="s">
        <v>6</v>
      </c>
      <c r="B199" t="s">
        <v>208</v>
      </c>
      <c r="C199" t="s">
        <v>243</v>
      </c>
    </row>
    <row r="200" spans="1:3" x14ac:dyDescent="0.3">
      <c r="A200" t="s">
        <v>6</v>
      </c>
      <c r="B200" t="s">
        <v>208</v>
      </c>
      <c r="C200" t="s">
        <v>244</v>
      </c>
    </row>
    <row r="201" spans="1:3" x14ac:dyDescent="0.3">
      <c r="A201" t="s">
        <v>6</v>
      </c>
      <c r="B201" t="s">
        <v>208</v>
      </c>
      <c r="C201" t="s">
        <v>245</v>
      </c>
    </row>
    <row r="202" spans="1:3" x14ac:dyDescent="0.3">
      <c r="A202" t="s">
        <v>6</v>
      </c>
      <c r="B202" t="s">
        <v>208</v>
      </c>
      <c r="C202" t="s">
        <v>246</v>
      </c>
    </row>
    <row r="203" spans="1:3" x14ac:dyDescent="0.3">
      <c r="A203" t="s">
        <v>6</v>
      </c>
      <c r="B203" t="s">
        <v>208</v>
      </c>
      <c r="C203" t="s">
        <v>247</v>
      </c>
    </row>
    <row r="204" spans="1:3" x14ac:dyDescent="0.3">
      <c r="A204" t="s">
        <v>6</v>
      </c>
      <c r="B204" t="s">
        <v>208</v>
      </c>
      <c r="C204" t="s">
        <v>248</v>
      </c>
    </row>
    <row r="205" spans="1:3" x14ac:dyDescent="0.3">
      <c r="A205" t="s">
        <v>6</v>
      </c>
      <c r="B205" t="s">
        <v>208</v>
      </c>
      <c r="C205" t="s">
        <v>249</v>
      </c>
    </row>
    <row r="206" spans="1:3" x14ac:dyDescent="0.3">
      <c r="A206" t="s">
        <v>6</v>
      </c>
      <c r="B206" t="s">
        <v>208</v>
      </c>
      <c r="C206" t="s">
        <v>250</v>
      </c>
    </row>
    <row r="207" spans="1:3" x14ac:dyDescent="0.3">
      <c r="A207" t="s">
        <v>26</v>
      </c>
      <c r="B207" t="s">
        <v>251</v>
      </c>
      <c r="C207" t="s">
        <v>252</v>
      </c>
    </row>
    <row r="208" spans="1:3" x14ac:dyDescent="0.3">
      <c r="A208" t="s">
        <v>26</v>
      </c>
      <c r="B208" t="s">
        <v>251</v>
      </c>
      <c r="C208" t="s">
        <v>253</v>
      </c>
    </row>
    <row r="209" spans="1:3" x14ac:dyDescent="0.3">
      <c r="A209" t="s">
        <v>26</v>
      </c>
      <c r="B209" t="s">
        <v>251</v>
      </c>
      <c r="C209" t="s">
        <v>254</v>
      </c>
    </row>
    <row r="210" spans="1:3" x14ac:dyDescent="0.3">
      <c r="A210" t="s">
        <v>26</v>
      </c>
      <c r="B210" t="s">
        <v>251</v>
      </c>
      <c r="C210" t="s">
        <v>255</v>
      </c>
    </row>
    <row r="211" spans="1:3" x14ac:dyDescent="0.3">
      <c r="A211" t="s">
        <v>26</v>
      </c>
      <c r="B211" t="s">
        <v>251</v>
      </c>
      <c r="C211" t="s">
        <v>256</v>
      </c>
    </row>
    <row r="212" spans="1:3" x14ac:dyDescent="0.3">
      <c r="A212" t="s">
        <v>26</v>
      </c>
      <c r="B212" t="s">
        <v>251</v>
      </c>
      <c r="C212" t="s">
        <v>257</v>
      </c>
    </row>
    <row r="213" spans="1:3" x14ac:dyDescent="0.3">
      <c r="A213" t="s">
        <v>26</v>
      </c>
      <c r="B213" t="s">
        <v>251</v>
      </c>
      <c r="C213" t="s">
        <v>258</v>
      </c>
    </row>
    <row r="214" spans="1:3" x14ac:dyDescent="0.3">
      <c r="A214" t="s">
        <v>26</v>
      </c>
      <c r="B214" t="s">
        <v>251</v>
      </c>
      <c r="C214" t="s">
        <v>259</v>
      </c>
    </row>
    <row r="215" spans="1:3" x14ac:dyDescent="0.3">
      <c r="A215" t="s">
        <v>26</v>
      </c>
      <c r="B215" t="s">
        <v>251</v>
      </c>
      <c r="C215" t="s">
        <v>260</v>
      </c>
    </row>
    <row r="216" spans="1:3" x14ac:dyDescent="0.3">
      <c r="A216" t="s">
        <v>26</v>
      </c>
      <c r="B216" t="s">
        <v>251</v>
      </c>
      <c r="C216" t="s">
        <v>261</v>
      </c>
    </row>
    <row r="217" spans="1:3" x14ac:dyDescent="0.3">
      <c r="A217" t="s">
        <v>26</v>
      </c>
      <c r="B217" t="s">
        <v>251</v>
      </c>
      <c r="C217" t="s">
        <v>262</v>
      </c>
    </row>
    <row r="218" spans="1:3" x14ac:dyDescent="0.3">
      <c r="A218" t="s">
        <v>26</v>
      </c>
      <c r="B218" t="s">
        <v>251</v>
      </c>
      <c r="C218" t="s">
        <v>263</v>
      </c>
    </row>
    <row r="219" spans="1:3" x14ac:dyDescent="0.3">
      <c r="A219" t="s">
        <v>26</v>
      </c>
      <c r="B219" t="s">
        <v>251</v>
      </c>
      <c r="C219" t="s">
        <v>264</v>
      </c>
    </row>
    <row r="220" spans="1:3" x14ac:dyDescent="0.3">
      <c r="A220" t="s">
        <v>26</v>
      </c>
      <c r="B220" t="s">
        <v>251</v>
      </c>
      <c r="C220" t="s">
        <v>265</v>
      </c>
    </row>
    <row r="221" spans="1:3" x14ac:dyDescent="0.3">
      <c r="A221" t="s">
        <v>26</v>
      </c>
      <c r="B221" t="s">
        <v>251</v>
      </c>
      <c r="C221" t="s">
        <v>266</v>
      </c>
    </row>
    <row r="222" spans="1:3" x14ac:dyDescent="0.3">
      <c r="A222" t="s">
        <v>26</v>
      </c>
      <c r="B222" t="s">
        <v>251</v>
      </c>
      <c r="C222" t="s">
        <v>267</v>
      </c>
    </row>
    <row r="223" spans="1:3" x14ac:dyDescent="0.3">
      <c r="A223" t="s">
        <v>26</v>
      </c>
      <c r="B223" t="s">
        <v>251</v>
      </c>
      <c r="C223" t="s">
        <v>268</v>
      </c>
    </row>
    <row r="224" spans="1:3" x14ac:dyDescent="0.3">
      <c r="A224" t="s">
        <v>26</v>
      </c>
      <c r="B224" t="s">
        <v>251</v>
      </c>
      <c r="C224" t="s">
        <v>269</v>
      </c>
    </row>
    <row r="225" spans="1:3" x14ac:dyDescent="0.3">
      <c r="A225" t="s">
        <v>26</v>
      </c>
      <c r="B225" t="s">
        <v>270</v>
      </c>
      <c r="C225" t="s">
        <v>271</v>
      </c>
    </row>
    <row r="226" spans="1:3" x14ac:dyDescent="0.3">
      <c r="A226" t="s">
        <v>26</v>
      </c>
      <c r="B226" t="s">
        <v>270</v>
      </c>
      <c r="C226" t="s">
        <v>272</v>
      </c>
    </row>
    <row r="227" spans="1:3" x14ac:dyDescent="0.3">
      <c r="A227" t="s">
        <v>26</v>
      </c>
      <c r="B227" t="s">
        <v>270</v>
      </c>
      <c r="C227" t="s">
        <v>273</v>
      </c>
    </row>
    <row r="228" spans="1:3" x14ac:dyDescent="0.3">
      <c r="A228" t="s">
        <v>26</v>
      </c>
      <c r="B228" t="s">
        <v>270</v>
      </c>
      <c r="C228" t="s">
        <v>274</v>
      </c>
    </row>
    <row r="229" spans="1:3" x14ac:dyDescent="0.3">
      <c r="A229" t="s">
        <v>26</v>
      </c>
      <c r="B229" t="s">
        <v>270</v>
      </c>
      <c r="C229" t="s">
        <v>275</v>
      </c>
    </row>
    <row r="230" spans="1:3" x14ac:dyDescent="0.3">
      <c r="A230" t="s">
        <v>26</v>
      </c>
      <c r="B230" t="s">
        <v>270</v>
      </c>
      <c r="C230" t="s">
        <v>276</v>
      </c>
    </row>
    <row r="231" spans="1:3" x14ac:dyDescent="0.3">
      <c r="A231" t="s">
        <v>26</v>
      </c>
      <c r="B231" t="s">
        <v>270</v>
      </c>
      <c r="C231" t="s">
        <v>277</v>
      </c>
    </row>
    <row r="232" spans="1:3" x14ac:dyDescent="0.3">
      <c r="A232" t="s">
        <v>26</v>
      </c>
      <c r="B232" t="s">
        <v>270</v>
      </c>
      <c r="C232" t="s">
        <v>278</v>
      </c>
    </row>
    <row r="233" spans="1:3" x14ac:dyDescent="0.3">
      <c r="A233" t="s">
        <v>26</v>
      </c>
      <c r="B233" t="s">
        <v>16</v>
      </c>
      <c r="C233" t="s">
        <v>197</v>
      </c>
    </row>
    <row r="234" spans="1:3" x14ac:dyDescent="0.3">
      <c r="A234" t="s">
        <v>26</v>
      </c>
      <c r="B234" t="s">
        <v>16</v>
      </c>
      <c r="C234" t="s">
        <v>198</v>
      </c>
    </row>
    <row r="235" spans="1:3" x14ac:dyDescent="0.3">
      <c r="A235" t="s">
        <v>26</v>
      </c>
      <c r="B235" t="s">
        <v>16</v>
      </c>
      <c r="C235" t="s">
        <v>113</v>
      </c>
    </row>
    <row r="236" spans="1:3" x14ac:dyDescent="0.3">
      <c r="A236" t="s">
        <v>26</v>
      </c>
      <c r="B236" t="s">
        <v>16</v>
      </c>
      <c r="C236" t="s">
        <v>199</v>
      </c>
    </row>
    <row r="237" spans="1:3" x14ac:dyDescent="0.3">
      <c r="A237" t="s">
        <v>26</v>
      </c>
      <c r="B237" t="s">
        <v>16</v>
      </c>
      <c r="C237" t="s">
        <v>153</v>
      </c>
    </row>
    <row r="238" spans="1:3" x14ac:dyDescent="0.3">
      <c r="A238" t="s">
        <v>26</v>
      </c>
      <c r="B238" t="s">
        <v>16</v>
      </c>
      <c r="C238" t="s">
        <v>200</v>
      </c>
    </row>
    <row r="239" spans="1:3" x14ac:dyDescent="0.3">
      <c r="A239" t="s">
        <v>26</v>
      </c>
      <c r="B239" t="s">
        <v>16</v>
      </c>
      <c r="C239" t="s">
        <v>201</v>
      </c>
    </row>
    <row r="240" spans="1:3" x14ac:dyDescent="0.3">
      <c r="A240" t="s">
        <v>26</v>
      </c>
      <c r="B240" t="s">
        <v>16</v>
      </c>
      <c r="C240" t="s">
        <v>279</v>
      </c>
    </row>
    <row r="241" spans="1:3" x14ac:dyDescent="0.3">
      <c r="A241" t="s">
        <v>26</v>
      </c>
      <c r="B241" t="s">
        <v>4</v>
      </c>
      <c r="C241" t="s">
        <v>138</v>
      </c>
    </row>
    <row r="242" spans="1:3" x14ac:dyDescent="0.3">
      <c r="A242" t="s">
        <v>26</v>
      </c>
      <c r="B242" t="s">
        <v>4</v>
      </c>
      <c r="C242" t="s">
        <v>133</v>
      </c>
    </row>
    <row r="243" spans="1:3" x14ac:dyDescent="0.3">
      <c r="A243" t="s">
        <v>26</v>
      </c>
      <c r="B243" t="s">
        <v>4</v>
      </c>
      <c r="C243" t="s">
        <v>68</v>
      </c>
    </row>
    <row r="244" spans="1:3" x14ac:dyDescent="0.3">
      <c r="A244" t="s">
        <v>26</v>
      </c>
      <c r="B244" t="s">
        <v>4</v>
      </c>
      <c r="C244" t="s">
        <v>69</v>
      </c>
    </row>
    <row r="245" spans="1:3" x14ac:dyDescent="0.3">
      <c r="A245" t="s">
        <v>26</v>
      </c>
      <c r="B245" t="s">
        <v>4</v>
      </c>
      <c r="C245" t="s">
        <v>202</v>
      </c>
    </row>
    <row r="246" spans="1:3" x14ac:dyDescent="0.3">
      <c r="A246" t="s">
        <v>26</v>
      </c>
      <c r="B246" t="s">
        <v>4</v>
      </c>
      <c r="C246" t="s">
        <v>203</v>
      </c>
    </row>
    <row r="247" spans="1:3" x14ac:dyDescent="0.3">
      <c r="A247" t="s">
        <v>26</v>
      </c>
      <c r="B247" t="s">
        <v>4</v>
      </c>
      <c r="C247" t="s">
        <v>204</v>
      </c>
    </row>
    <row r="248" spans="1:3" x14ac:dyDescent="0.3">
      <c r="A248" t="s">
        <v>26</v>
      </c>
      <c r="B248" t="s">
        <v>4</v>
      </c>
      <c r="C248" t="s">
        <v>280</v>
      </c>
    </row>
    <row r="249" spans="1:3" x14ac:dyDescent="0.3">
      <c r="A249" t="s">
        <v>26</v>
      </c>
      <c r="B249" t="s">
        <v>4</v>
      </c>
      <c r="C249" t="s">
        <v>281</v>
      </c>
    </row>
    <row r="250" spans="1:3" x14ac:dyDescent="0.3">
      <c r="A250" t="s">
        <v>26</v>
      </c>
      <c r="B250" t="s">
        <v>7</v>
      </c>
      <c r="C250" t="s">
        <v>65</v>
      </c>
    </row>
    <row r="251" spans="1:3" x14ac:dyDescent="0.3">
      <c r="A251" t="s">
        <v>26</v>
      </c>
      <c r="B251" t="s">
        <v>9</v>
      </c>
      <c r="C251" t="s">
        <v>58</v>
      </c>
    </row>
    <row r="252" spans="1:3" x14ac:dyDescent="0.3">
      <c r="A252" t="s">
        <v>26</v>
      </c>
      <c r="B252" t="s">
        <v>9</v>
      </c>
      <c r="C252" t="s">
        <v>59</v>
      </c>
    </row>
    <row r="253" spans="1:3" x14ac:dyDescent="0.3">
      <c r="A253" t="s">
        <v>26</v>
      </c>
      <c r="B253" t="s">
        <v>9</v>
      </c>
      <c r="C253" t="s">
        <v>44</v>
      </c>
    </row>
    <row r="254" spans="1:3" x14ac:dyDescent="0.3">
      <c r="A254" t="s">
        <v>26</v>
      </c>
      <c r="B254" t="s">
        <v>9</v>
      </c>
      <c r="C254" t="s">
        <v>27</v>
      </c>
    </row>
    <row r="255" spans="1:3" x14ac:dyDescent="0.3">
      <c r="A255" t="s">
        <v>26</v>
      </c>
      <c r="B255" t="s">
        <v>9</v>
      </c>
      <c r="C255" t="s">
        <v>71</v>
      </c>
    </row>
    <row r="256" spans="1:3" x14ac:dyDescent="0.3">
      <c r="A256" t="s">
        <v>26</v>
      </c>
      <c r="B256" t="s">
        <v>9</v>
      </c>
      <c r="C256" t="s">
        <v>61</v>
      </c>
    </row>
    <row r="257" spans="1:3" x14ac:dyDescent="0.3">
      <c r="A257" t="s">
        <v>26</v>
      </c>
      <c r="B257" t="s">
        <v>9</v>
      </c>
      <c r="C257" t="s">
        <v>53</v>
      </c>
    </row>
    <row r="258" spans="1:3" x14ac:dyDescent="0.3">
      <c r="A258" t="s">
        <v>26</v>
      </c>
      <c r="B258" t="s">
        <v>9</v>
      </c>
      <c r="C258" t="s">
        <v>52</v>
      </c>
    </row>
    <row r="259" spans="1:3" x14ac:dyDescent="0.3">
      <c r="A259" t="s">
        <v>26</v>
      </c>
      <c r="B259" t="s">
        <v>9</v>
      </c>
      <c r="C259" t="s">
        <v>148</v>
      </c>
    </row>
    <row r="260" spans="1:3" x14ac:dyDescent="0.3">
      <c r="A260" t="s">
        <v>26</v>
      </c>
      <c r="B260" t="s">
        <v>9</v>
      </c>
      <c r="C260" t="s">
        <v>57</v>
      </c>
    </row>
    <row r="261" spans="1:3" x14ac:dyDescent="0.3">
      <c r="A261" t="s">
        <v>26</v>
      </c>
      <c r="B261" t="s">
        <v>9</v>
      </c>
      <c r="C261" t="s">
        <v>75</v>
      </c>
    </row>
    <row r="262" spans="1:3" x14ac:dyDescent="0.3">
      <c r="A262" t="s">
        <v>26</v>
      </c>
      <c r="B262" t="s">
        <v>9</v>
      </c>
      <c r="C262" t="s">
        <v>131</v>
      </c>
    </row>
    <row r="263" spans="1:3" x14ac:dyDescent="0.3">
      <c r="A263" t="s">
        <v>26</v>
      </c>
      <c r="B263" t="s">
        <v>9</v>
      </c>
      <c r="C263" t="s">
        <v>132</v>
      </c>
    </row>
    <row r="264" spans="1:3" x14ac:dyDescent="0.3">
      <c r="A264" t="s">
        <v>26</v>
      </c>
      <c r="B264" t="s">
        <v>9</v>
      </c>
      <c r="C264" t="s">
        <v>151</v>
      </c>
    </row>
    <row r="265" spans="1:3" x14ac:dyDescent="0.3">
      <c r="A265" t="s">
        <v>26</v>
      </c>
      <c r="B265" t="s">
        <v>9</v>
      </c>
      <c r="C265" t="s">
        <v>282</v>
      </c>
    </row>
    <row r="266" spans="1:3" x14ac:dyDescent="0.3">
      <c r="A266" t="s">
        <v>26</v>
      </c>
      <c r="B266" t="s">
        <v>12</v>
      </c>
      <c r="C266" t="s">
        <v>28</v>
      </c>
    </row>
    <row r="267" spans="1:3" x14ac:dyDescent="0.3">
      <c r="A267" t="s">
        <v>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7월</vt:lpstr>
      <vt:lpstr>7월_수정기입</vt:lpstr>
      <vt:lpstr>워크센터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성준 이</cp:lastModifiedBy>
  <dcterms:created xsi:type="dcterms:W3CDTF">2015-06-05T18:19:34Z</dcterms:created>
  <dcterms:modified xsi:type="dcterms:W3CDTF">2025-11-24T23:54:25Z</dcterms:modified>
</cp:coreProperties>
</file>