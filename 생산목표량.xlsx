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d1p2\바탕 화면\생산기획팀_이창민\2. 참고자료\생산대시보드\01.Production_Dashboard - Claude\"/>
    </mc:Choice>
  </mc:AlternateContent>
  <xr:revisionPtr revIDLastSave="0" documentId="13_ncr:1_{52F48471-2EF9-4822-90BC-8A9330299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년" sheetId="1" r:id="rId1"/>
  </sheets>
  <definedNames>
    <definedName name="_xlnm._FilterDatabase" localSheetId="0" hidden="1">'2025년'!$C$1:$E$27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7" i="1" l="1"/>
  <c r="E307" i="1" s="1"/>
  <c r="H301" i="1"/>
  <c r="E301" i="1" s="1"/>
  <c r="H295" i="1"/>
  <c r="H289" i="1"/>
  <c r="E289" i="1" s="1"/>
  <c r="H283" i="1"/>
  <c r="E283" i="1" s="1"/>
  <c r="H277" i="1"/>
  <c r="E277" i="1" s="1"/>
  <c r="H271" i="1"/>
  <c r="E271" i="1" s="1"/>
  <c r="H265" i="1"/>
  <c r="E265" i="1" s="1"/>
  <c r="H259" i="1"/>
  <c r="E259" i="1" s="1"/>
  <c r="H253" i="1"/>
  <c r="H247" i="1"/>
  <c r="E247" i="1" s="1"/>
  <c r="H241" i="1"/>
  <c r="H235" i="1"/>
  <c r="E235" i="1" s="1"/>
  <c r="H229" i="1"/>
  <c r="E229" i="1" s="1"/>
  <c r="H223" i="1"/>
  <c r="H217" i="1"/>
  <c r="H211" i="1"/>
  <c r="E211" i="1" s="1"/>
  <c r="H205" i="1"/>
  <c r="H199" i="1"/>
  <c r="H193" i="1"/>
  <c r="E193" i="1" s="1"/>
  <c r="H187" i="1"/>
  <c r="E187" i="1" s="1"/>
  <c r="H181" i="1"/>
  <c r="E181" i="1" s="1"/>
  <c r="H175" i="1"/>
  <c r="H169" i="1"/>
  <c r="E169" i="1" s="1"/>
  <c r="H157" i="1"/>
  <c r="E157" i="1" s="1"/>
  <c r="H151" i="1"/>
  <c r="E151" i="1" s="1"/>
  <c r="H145" i="1"/>
  <c r="H139" i="1"/>
  <c r="H133" i="1"/>
  <c r="H127" i="1"/>
  <c r="E127" i="1" s="1"/>
  <c r="H121" i="1"/>
  <c r="H115" i="1"/>
  <c r="E115" i="1" s="1"/>
  <c r="I307" i="1" l="1"/>
  <c r="E295" i="1"/>
  <c r="I253" i="1"/>
  <c r="E241" i="1"/>
  <c r="J259" i="1" s="1"/>
  <c r="J257" i="1" s="1"/>
  <c r="J256" i="1" s="1"/>
  <c r="J255" i="1" s="1"/>
  <c r="I217" i="1"/>
  <c r="E205" i="1"/>
  <c r="J199" i="1"/>
  <c r="J197" i="1" s="1"/>
  <c r="I145" i="1"/>
  <c r="H163" i="1"/>
  <c r="E163" i="1" s="1"/>
  <c r="J181" i="1" s="1"/>
  <c r="J179" i="1" s="1"/>
  <c r="J178" i="1" s="1"/>
  <c r="I163" i="1"/>
  <c r="E133" i="1"/>
  <c r="J151" i="1" s="1"/>
  <c r="J149" i="1" s="1"/>
  <c r="J277" i="1"/>
  <c r="J275" i="1" s="1"/>
  <c r="J274" i="1" s="1"/>
  <c r="J175" i="1"/>
  <c r="J173" i="1" s="1"/>
  <c r="J172" i="1" s="1"/>
  <c r="J289" i="1"/>
  <c r="J287" i="1" s="1"/>
  <c r="J286" i="1" s="1"/>
  <c r="J187" i="1"/>
  <c r="J185" i="1" s="1"/>
  <c r="J184" i="1" s="1"/>
  <c r="J229" i="1"/>
  <c r="J227" i="1" s="1"/>
  <c r="J226" i="1" s="1"/>
  <c r="E199" i="1"/>
  <c r="J217" i="1" s="1"/>
  <c r="J215" i="1" s="1"/>
  <c r="J214" i="1" s="1"/>
  <c r="J283" i="1"/>
  <c r="J281" i="1" s="1"/>
  <c r="J280" i="1" s="1"/>
  <c r="J253" i="1"/>
  <c r="J251" i="1" s="1"/>
  <c r="J250" i="1" s="1"/>
  <c r="I199" i="1"/>
  <c r="I289" i="1"/>
  <c r="J211" i="1"/>
  <c r="J209" i="1" s="1"/>
  <c r="J208" i="1" s="1"/>
  <c r="J301" i="1"/>
  <c r="J299" i="1" s="1"/>
  <c r="J298" i="1" s="1"/>
  <c r="I181" i="1"/>
  <c r="I235" i="1"/>
  <c r="I143" i="1"/>
  <c r="J145" i="1"/>
  <c r="J143" i="1" s="1"/>
  <c r="J142" i="1" s="1"/>
  <c r="J247" i="1"/>
  <c r="J245" i="1" s="1"/>
  <c r="J244" i="1" s="1"/>
  <c r="J243" i="1" s="1"/>
  <c r="E253" i="1"/>
  <c r="J271" i="1" s="1"/>
  <c r="J269" i="1" s="1"/>
  <c r="J268" i="1" s="1"/>
  <c r="I271" i="1"/>
  <c r="I127" i="1"/>
  <c r="E175" i="1"/>
  <c r="J193" i="1" s="1"/>
  <c r="J191" i="1" s="1"/>
  <c r="J265" i="1"/>
  <c r="J263" i="1" s="1"/>
  <c r="J262" i="1" s="1"/>
  <c r="J307" i="1"/>
  <c r="J305" i="1" s="1"/>
  <c r="J304" i="1" s="1"/>
  <c r="I305" i="1"/>
  <c r="J295" i="1"/>
  <c r="J293" i="1" s="1"/>
  <c r="I287" i="1"/>
  <c r="I269" i="1"/>
  <c r="I251" i="1"/>
  <c r="J223" i="1"/>
  <c r="J221" i="1" s="1"/>
  <c r="J220" i="1" s="1"/>
  <c r="E223" i="1"/>
  <c r="J241" i="1" s="1"/>
  <c r="J239" i="1" s="1"/>
  <c r="J238" i="1" s="1"/>
  <c r="J237" i="1" s="1"/>
  <c r="I233" i="1"/>
  <c r="J205" i="1"/>
  <c r="J203" i="1" s="1"/>
  <c r="E217" i="1"/>
  <c r="J235" i="1" s="1"/>
  <c r="J233" i="1" s="1"/>
  <c r="J232" i="1" s="1"/>
  <c r="I215" i="1"/>
  <c r="J196" i="1"/>
  <c r="I197" i="1"/>
  <c r="I179" i="1"/>
  <c r="J169" i="1"/>
  <c r="J167" i="1" s="1"/>
  <c r="E145" i="1"/>
  <c r="E139" i="1"/>
  <c r="J157" i="1" s="1"/>
  <c r="J155" i="1" s="1"/>
  <c r="J154" i="1" s="1"/>
  <c r="J133" i="1"/>
  <c r="J131" i="1" s="1"/>
  <c r="E121" i="1"/>
  <c r="J139" i="1" s="1"/>
  <c r="J137" i="1" s="1"/>
  <c r="I125" i="1"/>
  <c r="I161" i="1" l="1"/>
  <c r="J163" i="1"/>
  <c r="J161" i="1" s="1"/>
  <c r="J160" i="1" s="1"/>
  <c r="J292" i="1"/>
  <c r="J303" i="1"/>
  <c r="J297" i="1"/>
  <c r="J285" i="1"/>
  <c r="J279" i="1"/>
  <c r="J273" i="1"/>
  <c r="J267" i="1"/>
  <c r="J261" i="1"/>
  <c r="J249" i="1"/>
  <c r="J225" i="1"/>
  <c r="J219" i="1"/>
  <c r="J231" i="1"/>
  <c r="J213" i="1"/>
  <c r="J202" i="1"/>
  <c r="J207" i="1"/>
  <c r="J195" i="1"/>
  <c r="J190" i="1"/>
  <c r="J183" i="1"/>
  <c r="J166" i="1"/>
  <c r="J177" i="1"/>
  <c r="J171" i="1"/>
  <c r="J148" i="1"/>
  <c r="J159" i="1"/>
  <c r="J153" i="1"/>
  <c r="J130" i="1"/>
  <c r="J141" i="1"/>
  <c r="J136" i="1"/>
  <c r="J291" i="1" l="1"/>
  <c r="J201" i="1"/>
  <c r="J189" i="1"/>
  <c r="J165" i="1"/>
  <c r="J147" i="1"/>
  <c r="J135" i="1"/>
  <c r="J129" i="1"/>
  <c r="H97" i="1" l="1"/>
  <c r="E97" i="1" s="1"/>
  <c r="J115" i="1" s="1"/>
  <c r="J113" i="1" s="1"/>
  <c r="J112" i="1" s="1"/>
  <c r="J111" i="1" s="1"/>
  <c r="H109" i="1" l="1"/>
  <c r="H103" i="1"/>
  <c r="M85" i="1"/>
  <c r="M91" i="1" s="1"/>
  <c r="H91" i="1" s="1"/>
  <c r="M67" i="1"/>
  <c r="M73" i="1" s="1"/>
  <c r="H73" i="1" s="1"/>
  <c r="E73" i="1" s="1"/>
  <c r="M49" i="1"/>
  <c r="M55" i="1" s="1"/>
  <c r="H55" i="1" s="1"/>
  <c r="J55" i="1" s="1"/>
  <c r="J53" i="1" s="1"/>
  <c r="J52" i="1" s="1"/>
  <c r="J51" i="1" s="1"/>
  <c r="E51" i="1" s="1"/>
  <c r="T47" i="1"/>
  <c r="T46" i="1"/>
  <c r="T45" i="1"/>
  <c r="H85" i="1"/>
  <c r="E85" i="1" s="1"/>
  <c r="H79" i="1"/>
  <c r="I89" i="1" s="1"/>
  <c r="H67" i="1"/>
  <c r="E67" i="1" s="1"/>
  <c r="H61" i="1"/>
  <c r="I71" i="1" s="1"/>
  <c r="H43" i="1"/>
  <c r="I91" i="1" l="1"/>
  <c r="H49" i="1"/>
  <c r="J49" i="1" s="1"/>
  <c r="J47" i="1" s="1"/>
  <c r="J43" i="1"/>
  <c r="J41" i="1" s="1"/>
  <c r="I53" i="1"/>
  <c r="E61" i="1"/>
  <c r="J103" i="1"/>
  <c r="J101" i="1" s="1"/>
  <c r="E103" i="1"/>
  <c r="J121" i="1" s="1"/>
  <c r="J119" i="1" s="1"/>
  <c r="J118" i="1" s="1"/>
  <c r="J117" i="1" s="1"/>
  <c r="I109" i="1"/>
  <c r="J109" i="1"/>
  <c r="J107" i="1" s="1"/>
  <c r="E109" i="1"/>
  <c r="J127" i="1" s="1"/>
  <c r="J125" i="1" s="1"/>
  <c r="J124" i="1" s="1"/>
  <c r="J123" i="1" s="1"/>
  <c r="I107" i="1"/>
  <c r="I73" i="1"/>
  <c r="J79" i="1"/>
  <c r="J77" i="1" s="1"/>
  <c r="J76" i="1" s="1"/>
  <c r="J75" i="1" s="1"/>
  <c r="I55" i="1"/>
  <c r="E43" i="1"/>
  <c r="J61" i="1" s="1"/>
  <c r="J59" i="1" s="1"/>
  <c r="J58" i="1" s="1"/>
  <c r="J57" i="1" s="1"/>
  <c r="J91" i="1"/>
  <c r="J89" i="1" s="1"/>
  <c r="J88" i="1" s="1"/>
  <c r="J87" i="1" s="1"/>
  <c r="J85" i="1"/>
  <c r="J83" i="1" s="1"/>
  <c r="J82" i="1" s="1"/>
  <c r="J81" i="1" s="1"/>
  <c r="E79" i="1"/>
  <c r="J97" i="1" s="1"/>
  <c r="J95" i="1" s="1"/>
  <c r="J94" i="1" s="1"/>
  <c r="E91" i="1"/>
  <c r="E47" i="1"/>
  <c r="J46" i="1"/>
  <c r="E49" i="1"/>
  <c r="J67" i="1" s="1"/>
  <c r="J65" i="1" s="1"/>
  <c r="J64" i="1" s="1"/>
  <c r="J63" i="1" s="1"/>
  <c r="E52" i="1"/>
  <c r="E53" i="1"/>
  <c r="E55" i="1"/>
  <c r="J73" i="1" s="1"/>
  <c r="J71" i="1" s="1"/>
  <c r="J70" i="1" s="1"/>
  <c r="J69" i="1" s="1"/>
  <c r="E69" i="1" s="1"/>
  <c r="E87" i="1" s="1"/>
  <c r="E41" i="1"/>
  <c r="J40" i="1"/>
  <c r="J106" i="1" l="1"/>
  <c r="J100" i="1"/>
  <c r="J93" i="1"/>
  <c r="E59" i="1"/>
  <c r="E77" i="1" s="1"/>
  <c r="E95" i="1" s="1"/>
  <c r="E113" i="1" s="1"/>
  <c r="E131" i="1" s="1"/>
  <c r="E149" i="1" s="1"/>
  <c r="E167" i="1" s="1"/>
  <c r="E185" i="1" s="1"/>
  <c r="E203" i="1" s="1"/>
  <c r="E221" i="1" s="1"/>
  <c r="E239" i="1" s="1"/>
  <c r="E257" i="1" s="1"/>
  <c r="E275" i="1" s="1"/>
  <c r="E293" i="1" s="1"/>
  <c r="E71" i="1"/>
  <c r="E89" i="1" s="1"/>
  <c r="E107" i="1" s="1"/>
  <c r="E125" i="1" s="1"/>
  <c r="E143" i="1" s="1"/>
  <c r="E161" i="1" s="1"/>
  <c r="E179" i="1" s="1"/>
  <c r="E197" i="1" s="1"/>
  <c r="E215" i="1" s="1"/>
  <c r="E233" i="1" s="1"/>
  <c r="E251" i="1" s="1"/>
  <c r="E269" i="1" s="1"/>
  <c r="E287" i="1" s="1"/>
  <c r="E305" i="1" s="1"/>
  <c r="E70" i="1"/>
  <c r="E88" i="1" s="1"/>
  <c r="E46" i="1"/>
  <c r="E64" i="1" s="1"/>
  <c r="E82" i="1" s="1"/>
  <c r="J45" i="1"/>
  <c r="E45" i="1" s="1"/>
  <c r="E63" i="1" s="1"/>
  <c r="E81" i="1" s="1"/>
  <c r="E65" i="1"/>
  <c r="E83" i="1" s="1"/>
  <c r="E101" i="1" s="1"/>
  <c r="E119" i="1" s="1"/>
  <c r="E137" i="1" s="1"/>
  <c r="E155" i="1" s="1"/>
  <c r="E173" i="1" s="1"/>
  <c r="E191" i="1" s="1"/>
  <c r="E209" i="1" s="1"/>
  <c r="E227" i="1" s="1"/>
  <c r="E245" i="1" s="1"/>
  <c r="E263" i="1" s="1"/>
  <c r="E281" i="1" s="1"/>
  <c r="E299" i="1" s="1"/>
  <c r="E40" i="1"/>
  <c r="E58" i="1" s="1"/>
  <c r="E76" i="1" s="1"/>
  <c r="E94" i="1" s="1"/>
  <c r="E112" i="1" s="1"/>
  <c r="E130" i="1" s="1"/>
  <c r="E148" i="1" s="1"/>
  <c r="E166" i="1" s="1"/>
  <c r="E184" i="1" s="1"/>
  <c r="E202" i="1" s="1"/>
  <c r="E220" i="1" s="1"/>
  <c r="E238" i="1" s="1"/>
  <c r="E256" i="1" s="1"/>
  <c r="E274" i="1" s="1"/>
  <c r="E292" i="1" s="1"/>
  <c r="J39" i="1"/>
  <c r="E39" i="1" s="1"/>
  <c r="E57" i="1" s="1"/>
  <c r="E75" i="1" s="1"/>
  <c r="E93" i="1" l="1"/>
  <c r="E111" i="1" s="1"/>
  <c r="E129" i="1" s="1"/>
  <c r="E147" i="1" s="1"/>
  <c r="E165" i="1" s="1"/>
  <c r="E183" i="1" s="1"/>
  <c r="E201" i="1" s="1"/>
  <c r="E219" i="1" s="1"/>
  <c r="E237" i="1" s="1"/>
  <c r="E255" i="1" s="1"/>
  <c r="E273" i="1" s="1"/>
  <c r="E291" i="1" s="1"/>
  <c r="E100" i="1"/>
  <c r="E118" i="1" s="1"/>
  <c r="E136" i="1" s="1"/>
  <c r="E154" i="1" s="1"/>
  <c r="E172" i="1" s="1"/>
  <c r="E190" i="1" s="1"/>
  <c r="E208" i="1" s="1"/>
  <c r="E226" i="1" s="1"/>
  <c r="E244" i="1" s="1"/>
  <c r="E262" i="1" s="1"/>
  <c r="E280" i="1" s="1"/>
  <c r="E298" i="1" s="1"/>
  <c r="J99" i="1"/>
  <c r="E99" i="1" s="1"/>
  <c r="E117" i="1" s="1"/>
  <c r="E135" i="1" s="1"/>
  <c r="E153" i="1" s="1"/>
  <c r="E171" i="1" s="1"/>
  <c r="E189" i="1" s="1"/>
  <c r="E207" i="1" s="1"/>
  <c r="E225" i="1" s="1"/>
  <c r="E243" i="1" s="1"/>
  <c r="E261" i="1" s="1"/>
  <c r="E279" i="1" s="1"/>
  <c r="E297" i="1" s="1"/>
  <c r="J105" i="1"/>
  <c r="E105" i="1" s="1"/>
  <c r="E123" i="1" s="1"/>
  <c r="E141" i="1" s="1"/>
  <c r="E159" i="1" s="1"/>
  <c r="E177" i="1" s="1"/>
  <c r="E195" i="1" s="1"/>
  <c r="E213" i="1" s="1"/>
  <c r="E231" i="1" s="1"/>
  <c r="E249" i="1" s="1"/>
  <c r="E267" i="1" s="1"/>
  <c r="E285" i="1" s="1"/>
  <c r="E303" i="1" s="1"/>
  <c r="E106" i="1"/>
  <c r="E124" i="1" s="1"/>
  <c r="E142" i="1" s="1"/>
  <c r="E160" i="1" s="1"/>
  <c r="E178" i="1" s="1"/>
  <c r="E196" i="1" s="1"/>
  <c r="E214" i="1" s="1"/>
  <c r="E232" i="1" s="1"/>
  <c r="E250" i="1" s="1"/>
  <c r="E268" i="1" s="1"/>
  <c r="E286" i="1" s="1"/>
  <c r="E304" i="1" s="1"/>
</calcChain>
</file>

<file path=xl/sharedStrings.xml><?xml version="1.0" encoding="utf-8"?>
<sst xmlns="http://schemas.openxmlformats.org/spreadsheetml/2006/main" count="654" uniqueCount="29">
  <si>
    <t>공장</t>
  </si>
  <si>
    <t>공정코드</t>
  </si>
  <si>
    <t>A관(1공장)</t>
  </si>
  <si>
    <t>[20] 분리</t>
  </si>
  <si>
    <t>C관(2공장)</t>
  </si>
  <si>
    <t>[45] 하이드레이션/전면검사</t>
  </si>
  <si>
    <t>[55] 접착/ 멸균</t>
  </si>
  <si>
    <t>[80] 누수/규격검사</t>
  </si>
  <si>
    <t>[10] 사출조립</t>
  </si>
  <si>
    <t>S관(3공장)</t>
  </si>
  <si>
    <t>[00] 배합</t>
  </si>
  <si>
    <t>일일_생산목표량</t>
  </si>
  <si>
    <t>년</t>
    <phoneticPr fontId="1" type="noConversion"/>
  </si>
  <si>
    <t>월</t>
    <phoneticPr fontId="1" type="noConversion"/>
  </si>
  <si>
    <t>날짜</t>
    <phoneticPr fontId="1" type="noConversion"/>
  </si>
  <si>
    <t>누수규격기준 월 생산목표량</t>
    <phoneticPr fontId="1" type="noConversion"/>
  </si>
  <si>
    <t>일당 생산 목표량</t>
    <phoneticPr fontId="1" type="noConversion"/>
  </si>
  <si>
    <t>A관(1공장)</t>
    <phoneticPr fontId="1" type="noConversion"/>
  </si>
  <si>
    <t>3분기</t>
    <phoneticPr fontId="1" type="noConversion"/>
  </si>
  <si>
    <t>변화율(%)</t>
    <phoneticPr fontId="1" type="noConversion"/>
  </si>
  <si>
    <t>4분기</t>
    <phoneticPr fontId="1" type="noConversion"/>
  </si>
  <si>
    <t>C관(2공장)</t>
    <phoneticPr fontId="1" type="noConversion"/>
  </si>
  <si>
    <t>S관(3공장)</t>
    <phoneticPr fontId="1" type="noConversion"/>
  </si>
  <si>
    <t>[01] 배합</t>
  </si>
  <si>
    <t>[11] 사출조립</t>
  </si>
  <si>
    <t>[21] 분리</t>
  </si>
  <si>
    <t>[46] 하이드레이션/전면검사</t>
  </si>
  <si>
    <t>[56] 접착/ 멸균</t>
  </si>
  <si>
    <t>[81] 누수/규격검사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</si>
</sst>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_-;\-* #,##0_-;_-* &quot;-&quot;??_-;_-@_-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41" fontId="0" fillId="0" borderId="0" xfId="1" applyFont="1" applyAlignment="1"/>
    <xf numFmtId="41" fontId="3" fillId="0" borderId="0" xfId="1" applyFont="1" applyBorder="1" applyAlignment="1"/>
    <xf numFmtId="2" fontId="3" fillId="0" borderId="0" xfId="0" applyNumberFormat="1" applyFont="1"/>
    <xf numFmtId="41" fontId="0" fillId="0" borderId="0" xfId="1" applyFont="1" applyBorder="1" applyAlignment="1"/>
    <xf numFmtId="2" fontId="0" fillId="0" borderId="0" xfId="0" applyNumberFormat="1"/>
    <xf numFmtId="0" fontId="3" fillId="0" borderId="0" xfId="0" applyFont="1"/>
    <xf numFmtId="0" fontId="0" fillId="0" borderId="2" xfId="0" applyBorder="1"/>
    <xf numFmtId="41" fontId="3" fillId="0" borderId="2" xfId="1" applyFont="1" applyBorder="1" applyAlignment="1"/>
    <xf numFmtId="0" fontId="3" fillId="0" borderId="2" xfId="0" applyFont="1" applyBorder="1"/>
    <xf numFmtId="0" fontId="3" fillId="0" borderId="3" xfId="0" applyFont="1" applyBorder="1"/>
    <xf numFmtId="0" fontId="0" fillId="0" borderId="5" xfId="0" applyBorder="1"/>
    <xf numFmtId="0" fontId="0" fillId="0" borderId="7" xfId="0" applyBorder="1"/>
    <xf numFmtId="41" fontId="3" fillId="0" borderId="7" xfId="1" applyFont="1" applyBorder="1" applyAlignment="1"/>
    <xf numFmtId="2" fontId="3" fillId="0" borderId="7" xfId="0" applyNumberFormat="1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6" xfId="0" applyFont="1" applyBorder="1"/>
    <xf numFmtId="0" fontId="3" fillId="2" borderId="0" xfId="0" applyFont="1" applyFill="1"/>
    <xf numFmtId="41" fontId="3" fillId="2" borderId="5" xfId="1" applyFont="1" applyFill="1" applyBorder="1" applyAlignment="1"/>
    <xf numFmtId="0" fontId="3" fillId="2" borderId="7" xfId="0" applyFont="1" applyFill="1" applyBorder="1"/>
    <xf numFmtId="41" fontId="3" fillId="2" borderId="8" xfId="1" applyFont="1" applyFill="1" applyBorder="1" applyAlignment="1"/>
    <xf numFmtId="0" fontId="0" fillId="0" borderId="9" xfId="0" applyBorder="1"/>
    <xf numFmtId="0" fontId="3" fillId="0" borderId="9" xfId="0" applyFont="1" applyBorder="1"/>
    <xf numFmtId="41" fontId="3" fillId="0" borderId="9" xfId="1" applyFont="1" applyBorder="1" applyAlignment="1"/>
    <xf numFmtId="9" fontId="3" fillId="0" borderId="9" xfId="2" applyFont="1" applyBorder="1" applyAlignment="1"/>
    <xf numFmtId="0" fontId="0" fillId="2" borderId="0" xfId="0" applyFill="1"/>
    <xf numFmtId="0" fontId="0" fillId="2" borderId="2" xfId="0" applyFill="1" applyBorder="1"/>
    <xf numFmtId="41" fontId="3" fillId="2" borderId="0" xfId="1" applyFont="1" applyFill="1" applyBorder="1" applyAlignment="1"/>
    <xf numFmtId="41" fontId="3" fillId="2" borderId="7" xfId="1" applyFont="1" applyFill="1" applyBorder="1" applyAlignment="1"/>
    <xf numFmtId="0" fontId="4" fillId="3" borderId="0" xfId="0" applyFont="1" applyFill="1"/>
    <xf numFmtId="176" fontId="0" fillId="0" borderId="0" xfId="0" applyNumberFormat="1"/>
    <xf numFmtId="176" fontId="0" fillId="0" borderId="2" xfId="0" applyNumberFormat="1" applyBorder="1"/>
    <xf numFmtId="176" fontId="3" fillId="0" borderId="7" xfId="0" applyNumberFormat="1" applyFont="1" applyBorder="1"/>
    <xf numFmtId="176" fontId="3" fillId="0" borderId="0" xfId="0" applyNumberFormat="1" applyFo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7"/>
  <sheetViews>
    <sheetView tabSelected="1" topLeftCell="A90" workbookViewId="0">
      <selection activeCell="E95" sqref="E95"/>
    </sheetView>
  </sheetViews>
  <sheetFormatPr defaultRowHeight="16.5" x14ac:dyDescent="0.3"/>
  <cols>
    <col min="3" max="3" width="10.625" bestFit="1" customWidth="1"/>
    <col min="4" max="4" width="26.5" bestFit="1" customWidth="1"/>
    <col min="5" max="5" width="16" style="1" bestFit="1" customWidth="1"/>
    <col min="8" max="8" width="19.25" style="27" customWidth="1"/>
    <col min="9" max="9" width="15.75" style="32" customWidth="1"/>
    <col min="10" max="10" width="9.5" bestFit="1" customWidth="1"/>
    <col min="11" max="11" width="15.125" customWidth="1"/>
    <col min="14" max="14" width="25.625" customWidth="1"/>
    <col min="15" max="20" width="10.625" customWidth="1"/>
  </cols>
  <sheetData>
    <row r="1" spans="1:5" x14ac:dyDescent="0.3">
      <c r="A1" t="s">
        <v>12</v>
      </c>
      <c r="B1" t="s">
        <v>13</v>
      </c>
      <c r="C1" t="s">
        <v>0</v>
      </c>
      <c r="D1" t="s">
        <v>1</v>
      </c>
      <c r="E1" s="1" t="s">
        <v>11</v>
      </c>
    </row>
    <row r="2" spans="1:5" x14ac:dyDescent="0.3">
      <c r="A2">
        <v>2025</v>
      </c>
      <c r="B2">
        <v>7</v>
      </c>
      <c r="C2" t="s">
        <v>2</v>
      </c>
      <c r="D2" t="s">
        <v>10</v>
      </c>
    </row>
    <row r="3" spans="1:5" x14ac:dyDescent="0.3">
      <c r="A3">
        <v>2025</v>
      </c>
      <c r="B3">
        <v>7</v>
      </c>
      <c r="C3" t="s">
        <v>2</v>
      </c>
      <c r="D3" t="s">
        <v>8</v>
      </c>
      <c r="E3" s="1">
        <v>197367</v>
      </c>
    </row>
    <row r="4" spans="1:5" x14ac:dyDescent="0.3">
      <c r="A4">
        <v>2025</v>
      </c>
      <c r="B4">
        <v>7</v>
      </c>
      <c r="C4" t="s">
        <v>2</v>
      </c>
      <c r="D4" t="s">
        <v>3</v>
      </c>
      <c r="E4" s="1">
        <v>197367</v>
      </c>
    </row>
    <row r="5" spans="1:5" x14ac:dyDescent="0.3">
      <c r="A5">
        <v>2025</v>
      </c>
      <c r="B5">
        <v>7</v>
      </c>
      <c r="C5" t="s">
        <v>2</v>
      </c>
      <c r="D5" t="s">
        <v>5</v>
      </c>
      <c r="E5" s="1">
        <v>118500</v>
      </c>
    </row>
    <row r="6" spans="1:5" x14ac:dyDescent="0.3">
      <c r="A6">
        <v>2025</v>
      </c>
      <c r="B6">
        <v>7</v>
      </c>
      <c r="C6" t="s">
        <v>2</v>
      </c>
      <c r="D6" t="s">
        <v>6</v>
      </c>
    </row>
    <row r="7" spans="1:5" x14ac:dyDescent="0.3">
      <c r="A7">
        <v>2025</v>
      </c>
      <c r="B7">
        <v>7</v>
      </c>
      <c r="C7" t="s">
        <v>2</v>
      </c>
      <c r="D7" t="s">
        <v>7</v>
      </c>
      <c r="E7" s="1">
        <v>112902.58064516129</v>
      </c>
    </row>
    <row r="8" spans="1:5" x14ac:dyDescent="0.3">
      <c r="A8">
        <v>2025</v>
      </c>
      <c r="B8">
        <v>7</v>
      </c>
      <c r="C8" t="s">
        <v>4</v>
      </c>
      <c r="D8" t="s">
        <v>10</v>
      </c>
    </row>
    <row r="9" spans="1:5" x14ac:dyDescent="0.3">
      <c r="A9">
        <v>2025</v>
      </c>
      <c r="B9">
        <v>7</v>
      </c>
      <c r="C9" t="s">
        <v>4</v>
      </c>
      <c r="D9" t="s">
        <v>8</v>
      </c>
      <c r="E9" s="1">
        <v>742386</v>
      </c>
    </row>
    <row r="10" spans="1:5" x14ac:dyDescent="0.3">
      <c r="A10">
        <v>2025</v>
      </c>
      <c r="B10">
        <v>7</v>
      </c>
      <c r="C10" t="s">
        <v>4</v>
      </c>
      <c r="D10" t="s">
        <v>3</v>
      </c>
      <c r="E10" s="1">
        <v>742386</v>
      </c>
    </row>
    <row r="11" spans="1:5" x14ac:dyDescent="0.3">
      <c r="A11">
        <v>2025</v>
      </c>
      <c r="B11">
        <v>7</v>
      </c>
      <c r="C11" t="s">
        <v>4</v>
      </c>
      <c r="D11" t="s">
        <v>5</v>
      </c>
      <c r="E11" s="1">
        <v>650698</v>
      </c>
    </row>
    <row r="12" spans="1:5" x14ac:dyDescent="0.3">
      <c r="A12">
        <v>2025</v>
      </c>
      <c r="B12">
        <v>7</v>
      </c>
      <c r="C12" t="s">
        <v>4</v>
      </c>
      <c r="D12" t="s">
        <v>6</v>
      </c>
    </row>
    <row r="13" spans="1:5" x14ac:dyDescent="0.3">
      <c r="A13">
        <v>2025</v>
      </c>
      <c r="B13">
        <v>7</v>
      </c>
      <c r="C13" t="s">
        <v>4</v>
      </c>
      <c r="D13" t="s">
        <v>7</v>
      </c>
      <c r="E13" s="1">
        <v>609677.41935483878</v>
      </c>
    </row>
    <row r="14" spans="1:5" x14ac:dyDescent="0.3">
      <c r="A14">
        <v>2025</v>
      </c>
      <c r="B14">
        <v>7</v>
      </c>
      <c r="C14" t="s">
        <v>9</v>
      </c>
      <c r="D14" t="s">
        <v>10</v>
      </c>
    </row>
    <row r="15" spans="1:5" x14ac:dyDescent="0.3">
      <c r="A15">
        <v>2025</v>
      </c>
      <c r="B15">
        <v>7</v>
      </c>
      <c r="C15" t="s">
        <v>9</v>
      </c>
      <c r="D15" t="s">
        <v>8</v>
      </c>
      <c r="E15" s="1">
        <v>183871</v>
      </c>
    </row>
    <row r="16" spans="1:5" x14ac:dyDescent="0.3">
      <c r="A16">
        <v>2025</v>
      </c>
      <c r="B16">
        <v>7</v>
      </c>
      <c r="C16" t="s">
        <v>9</v>
      </c>
      <c r="D16" t="s">
        <v>3</v>
      </c>
      <c r="E16" s="1">
        <v>183871</v>
      </c>
    </row>
    <row r="17" spans="1:17" x14ac:dyDescent="0.3">
      <c r="A17">
        <v>2025</v>
      </c>
      <c r="B17">
        <v>7</v>
      </c>
      <c r="C17" t="s">
        <v>9</v>
      </c>
      <c r="D17" t="s">
        <v>5</v>
      </c>
      <c r="E17" s="1">
        <v>116759</v>
      </c>
    </row>
    <row r="18" spans="1:17" x14ac:dyDescent="0.3">
      <c r="A18">
        <v>2025</v>
      </c>
      <c r="B18">
        <v>7</v>
      </c>
      <c r="C18" t="s">
        <v>9</v>
      </c>
      <c r="D18" t="s">
        <v>6</v>
      </c>
    </row>
    <row r="19" spans="1:17" x14ac:dyDescent="0.3">
      <c r="A19">
        <v>2025</v>
      </c>
      <c r="B19">
        <v>7</v>
      </c>
      <c r="C19" t="s">
        <v>9</v>
      </c>
      <c r="D19" t="s">
        <v>7</v>
      </c>
      <c r="E19" s="1">
        <v>100645.16129032259</v>
      </c>
    </row>
    <row r="20" spans="1:17" x14ac:dyDescent="0.3">
      <c r="A20">
        <v>2025</v>
      </c>
      <c r="B20">
        <v>8</v>
      </c>
      <c r="C20" t="s">
        <v>2</v>
      </c>
      <c r="D20" t="s">
        <v>10</v>
      </c>
    </row>
    <row r="21" spans="1:17" x14ac:dyDescent="0.3">
      <c r="A21">
        <v>2025</v>
      </c>
      <c r="B21">
        <v>8</v>
      </c>
      <c r="C21" t="s">
        <v>2</v>
      </c>
      <c r="D21" t="s">
        <v>8</v>
      </c>
      <c r="E21" s="1">
        <v>197367</v>
      </c>
      <c r="Q21">
        <v>197367</v>
      </c>
    </row>
    <row r="22" spans="1:17" x14ac:dyDescent="0.3">
      <c r="A22">
        <v>2025</v>
      </c>
      <c r="B22">
        <v>8</v>
      </c>
      <c r="C22" t="s">
        <v>2</v>
      </c>
      <c r="D22" t="s">
        <v>3</v>
      </c>
      <c r="E22" s="1">
        <v>197367</v>
      </c>
    </row>
    <row r="23" spans="1:17" x14ac:dyDescent="0.3">
      <c r="A23">
        <v>2025</v>
      </c>
      <c r="B23">
        <v>8</v>
      </c>
      <c r="C23" t="s">
        <v>2</v>
      </c>
      <c r="D23" t="s">
        <v>5</v>
      </c>
      <c r="E23" s="1">
        <v>118500</v>
      </c>
      <c r="Q23">
        <v>118500</v>
      </c>
    </row>
    <row r="24" spans="1:17" x14ac:dyDescent="0.3">
      <c r="A24">
        <v>2025</v>
      </c>
      <c r="B24">
        <v>8</v>
      </c>
      <c r="C24" t="s">
        <v>2</v>
      </c>
      <c r="D24" t="s">
        <v>6</v>
      </c>
    </row>
    <row r="25" spans="1:17" x14ac:dyDescent="0.3">
      <c r="A25">
        <v>2025</v>
      </c>
      <c r="B25">
        <v>8</v>
      </c>
      <c r="C25" t="s">
        <v>2</v>
      </c>
      <c r="D25" t="s">
        <v>7</v>
      </c>
      <c r="E25" s="1">
        <v>112902.58064516129</v>
      </c>
      <c r="Q25">
        <v>116666</v>
      </c>
    </row>
    <row r="26" spans="1:17" x14ac:dyDescent="0.3">
      <c r="A26">
        <v>2025</v>
      </c>
      <c r="B26">
        <v>8</v>
      </c>
      <c r="C26" t="s">
        <v>4</v>
      </c>
      <c r="D26" t="s">
        <v>10</v>
      </c>
    </row>
    <row r="27" spans="1:17" x14ac:dyDescent="0.3">
      <c r="A27">
        <v>2025</v>
      </c>
      <c r="B27">
        <v>8</v>
      </c>
      <c r="C27" t="s">
        <v>4</v>
      </c>
      <c r="D27" t="s">
        <v>8</v>
      </c>
      <c r="E27" s="1">
        <v>742386</v>
      </c>
      <c r="Q27">
        <v>742386</v>
      </c>
    </row>
    <row r="28" spans="1:17" x14ac:dyDescent="0.3">
      <c r="A28">
        <v>2025</v>
      </c>
      <c r="B28">
        <v>8</v>
      </c>
      <c r="C28" t="s">
        <v>4</v>
      </c>
      <c r="D28" t="s">
        <v>3</v>
      </c>
      <c r="E28" s="1">
        <v>742386</v>
      </c>
    </row>
    <row r="29" spans="1:17" x14ac:dyDescent="0.3">
      <c r="A29">
        <v>2025</v>
      </c>
      <c r="B29">
        <v>8</v>
      </c>
      <c r="C29" t="s">
        <v>4</v>
      </c>
      <c r="D29" t="s">
        <v>5</v>
      </c>
      <c r="E29" s="1">
        <v>650698</v>
      </c>
      <c r="Q29">
        <v>650698</v>
      </c>
    </row>
    <row r="30" spans="1:17" x14ac:dyDescent="0.3">
      <c r="A30">
        <v>2025</v>
      </c>
      <c r="B30">
        <v>8</v>
      </c>
      <c r="C30" t="s">
        <v>4</v>
      </c>
      <c r="D30" t="s">
        <v>6</v>
      </c>
    </row>
    <row r="31" spans="1:17" x14ac:dyDescent="0.3">
      <c r="A31">
        <v>2025</v>
      </c>
      <c r="B31">
        <v>8</v>
      </c>
      <c r="C31" t="s">
        <v>4</v>
      </c>
      <c r="D31" t="s">
        <v>7</v>
      </c>
      <c r="E31" s="1">
        <v>609677.41935483878</v>
      </c>
      <c r="Q31">
        <v>630000</v>
      </c>
    </row>
    <row r="32" spans="1:17" x14ac:dyDescent="0.3">
      <c r="A32">
        <v>2025</v>
      </c>
      <c r="B32">
        <v>8</v>
      </c>
      <c r="C32" t="s">
        <v>9</v>
      </c>
      <c r="D32" t="s">
        <v>10</v>
      </c>
    </row>
    <row r="33" spans="1:20" x14ac:dyDescent="0.3">
      <c r="A33">
        <v>2025</v>
      </c>
      <c r="B33">
        <v>8</v>
      </c>
      <c r="C33" t="s">
        <v>9</v>
      </c>
      <c r="D33" t="s">
        <v>8</v>
      </c>
      <c r="E33" s="1">
        <v>183871</v>
      </c>
      <c r="Q33">
        <v>183871</v>
      </c>
    </row>
    <row r="34" spans="1:20" x14ac:dyDescent="0.3">
      <c r="A34">
        <v>2025</v>
      </c>
      <c r="B34">
        <v>8</v>
      </c>
      <c r="C34" t="s">
        <v>9</v>
      </c>
      <c r="D34" t="s">
        <v>3</v>
      </c>
      <c r="E34" s="1">
        <v>183871</v>
      </c>
    </row>
    <row r="35" spans="1:20" x14ac:dyDescent="0.3">
      <c r="A35">
        <v>2025</v>
      </c>
      <c r="B35">
        <v>8</v>
      </c>
      <c r="C35" t="s">
        <v>9</v>
      </c>
      <c r="D35" t="s">
        <v>5</v>
      </c>
      <c r="E35" s="1">
        <v>116759</v>
      </c>
      <c r="Q35">
        <v>116759</v>
      </c>
    </row>
    <row r="36" spans="1:20" x14ac:dyDescent="0.3">
      <c r="A36">
        <v>2025</v>
      </c>
      <c r="B36">
        <v>8</v>
      </c>
      <c r="C36" t="s">
        <v>9</v>
      </c>
      <c r="D36" t="s">
        <v>6</v>
      </c>
    </row>
    <row r="37" spans="1:20" ht="17.25" thickBot="1" x14ac:dyDescent="0.35">
      <c r="A37">
        <v>2025</v>
      </c>
      <c r="B37">
        <v>8</v>
      </c>
      <c r="C37" t="s">
        <v>9</v>
      </c>
      <c r="D37" t="s">
        <v>7</v>
      </c>
      <c r="E37" s="1">
        <v>100645.16129032259</v>
      </c>
      <c r="Q37">
        <v>104000</v>
      </c>
    </row>
    <row r="38" spans="1:20" x14ac:dyDescent="0.3">
      <c r="A38" s="16">
        <v>2025</v>
      </c>
      <c r="B38" s="9">
        <v>10</v>
      </c>
      <c r="C38" s="9" t="s">
        <v>2</v>
      </c>
      <c r="D38" s="9" t="s">
        <v>10</v>
      </c>
      <c r="E38" s="8"/>
      <c r="F38" s="7"/>
      <c r="G38" s="7"/>
      <c r="H38" s="28"/>
      <c r="I38" s="33"/>
      <c r="J38" s="7"/>
      <c r="K38" s="7"/>
      <c r="L38" s="7"/>
      <c r="M38" s="9" t="s">
        <v>14</v>
      </c>
      <c r="N38" s="10" t="s">
        <v>15</v>
      </c>
    </row>
    <row r="39" spans="1:20" x14ac:dyDescent="0.3">
      <c r="A39" s="17">
        <v>2025</v>
      </c>
      <c r="B39" s="6">
        <v>10</v>
      </c>
      <c r="C39" s="6" t="s">
        <v>2</v>
      </c>
      <c r="D39" s="6" t="s">
        <v>8</v>
      </c>
      <c r="E39" s="2">
        <f>E21*J39</f>
        <v>218513.46428571429</v>
      </c>
      <c r="J39" s="3">
        <f>J40</f>
        <v>1.1071428571428572</v>
      </c>
      <c r="N39" s="11"/>
    </row>
    <row r="40" spans="1:20" x14ac:dyDescent="0.3">
      <c r="A40" s="17">
        <v>2025</v>
      </c>
      <c r="B40" s="6">
        <v>10</v>
      </c>
      <c r="C40" s="6" t="s">
        <v>2</v>
      </c>
      <c r="D40" s="6" t="s">
        <v>3</v>
      </c>
      <c r="E40" s="2">
        <f t="shared" ref="E40:E41" si="0">E22*J40</f>
        <v>218513.46428571429</v>
      </c>
      <c r="J40" s="3">
        <f>J41</f>
        <v>1.1071428571428572</v>
      </c>
      <c r="N40" s="11"/>
    </row>
    <row r="41" spans="1:20" x14ac:dyDescent="0.3">
      <c r="A41" s="17">
        <v>2025</v>
      </c>
      <c r="B41" s="6">
        <v>10</v>
      </c>
      <c r="C41" s="6" t="s">
        <v>2</v>
      </c>
      <c r="D41" s="6" t="s">
        <v>5</v>
      </c>
      <c r="E41" s="2">
        <f t="shared" si="0"/>
        <v>131196.42857142858</v>
      </c>
      <c r="J41" s="3">
        <f>J43</f>
        <v>1.1071428571428572</v>
      </c>
      <c r="N41" s="11"/>
    </row>
    <row r="42" spans="1:20" x14ac:dyDescent="0.3">
      <c r="A42" s="17">
        <v>2025</v>
      </c>
      <c r="B42" s="6">
        <v>10</v>
      </c>
      <c r="C42" s="6" t="s">
        <v>2</v>
      </c>
      <c r="D42" s="6" t="s">
        <v>6</v>
      </c>
      <c r="E42" s="4"/>
      <c r="J42" s="5"/>
      <c r="N42" s="11"/>
    </row>
    <row r="43" spans="1:20" x14ac:dyDescent="0.3">
      <c r="A43" s="17">
        <v>2025</v>
      </c>
      <c r="B43" s="6">
        <v>10</v>
      </c>
      <c r="C43" s="6" t="s">
        <v>2</v>
      </c>
      <c r="D43" s="6" t="s">
        <v>7</v>
      </c>
      <c r="E43" s="2">
        <f>H43</f>
        <v>124999.28571428571</v>
      </c>
      <c r="H43" s="29">
        <f>N43/M43</f>
        <v>124999.28571428571</v>
      </c>
      <c r="J43" s="3">
        <f>H43/E25</f>
        <v>1.1071428571428572</v>
      </c>
      <c r="M43" s="31">
        <v>28</v>
      </c>
      <c r="N43" s="20">
        <v>3499980</v>
      </c>
      <c r="Q43" s="6" t="s">
        <v>16</v>
      </c>
    </row>
    <row r="44" spans="1:20" x14ac:dyDescent="0.3">
      <c r="A44" s="17">
        <v>2025</v>
      </c>
      <c r="B44" s="6">
        <v>10</v>
      </c>
      <c r="C44" s="6" t="s">
        <v>4</v>
      </c>
      <c r="D44" s="6" t="s">
        <v>10</v>
      </c>
      <c r="E44" s="2"/>
      <c r="J44" s="5"/>
      <c r="N44" s="11"/>
      <c r="Q44" s="23"/>
      <c r="R44" s="24" t="s">
        <v>18</v>
      </c>
      <c r="S44" s="24" t="s">
        <v>20</v>
      </c>
      <c r="T44" s="24" t="s">
        <v>19</v>
      </c>
    </row>
    <row r="45" spans="1:20" x14ac:dyDescent="0.3">
      <c r="A45" s="17">
        <v>2025</v>
      </c>
      <c r="B45" s="6">
        <v>10</v>
      </c>
      <c r="C45" s="6" t="s">
        <v>4</v>
      </c>
      <c r="D45" s="6" t="s">
        <v>8</v>
      </c>
      <c r="E45" s="2">
        <f>E27*J45</f>
        <v>863023.72499999986</v>
      </c>
      <c r="J45" s="3">
        <f>J46</f>
        <v>1.1624999999999999</v>
      </c>
      <c r="N45" s="11"/>
      <c r="Q45" s="24" t="s">
        <v>17</v>
      </c>
      <c r="R45" s="25">
        <v>112902.58064516129</v>
      </c>
      <c r="S45" s="25">
        <v>112902.58064516129</v>
      </c>
      <c r="T45" s="26">
        <f>S45/R45</f>
        <v>1</v>
      </c>
    </row>
    <row r="46" spans="1:20" x14ac:dyDescent="0.3">
      <c r="A46" s="17">
        <v>2025</v>
      </c>
      <c r="B46" s="6">
        <v>10</v>
      </c>
      <c r="C46" s="6" t="s">
        <v>4</v>
      </c>
      <c r="D46" s="6" t="s">
        <v>3</v>
      </c>
      <c r="E46" s="2">
        <f t="shared" ref="E46:E47" si="1">E28*J46</f>
        <v>863023.72499999986</v>
      </c>
      <c r="J46" s="3">
        <f>J47</f>
        <v>1.1624999999999999</v>
      </c>
      <c r="N46" s="11"/>
      <c r="Q46" s="24" t="s">
        <v>21</v>
      </c>
      <c r="R46" s="25">
        <v>609677.41935483878</v>
      </c>
      <c r="S46" s="25">
        <v>666580.6451612903</v>
      </c>
      <c r="T46" s="26">
        <f t="shared" ref="T46:T47" si="2">S46/R46</f>
        <v>1.0933333333333333</v>
      </c>
    </row>
    <row r="47" spans="1:20" x14ac:dyDescent="0.3">
      <c r="A47" s="17">
        <v>2025</v>
      </c>
      <c r="B47" s="6">
        <v>10</v>
      </c>
      <c r="C47" s="6" t="s">
        <v>4</v>
      </c>
      <c r="D47" s="6" t="s">
        <v>5</v>
      </c>
      <c r="E47" s="2">
        <f t="shared" si="1"/>
        <v>756436.42499999993</v>
      </c>
      <c r="J47" s="3">
        <f>J49</f>
        <v>1.1624999999999999</v>
      </c>
      <c r="N47" s="11"/>
      <c r="Q47" s="24" t="s">
        <v>22</v>
      </c>
      <c r="R47" s="25">
        <v>100645.16129032259</v>
      </c>
      <c r="S47" s="25">
        <v>144130.45161290321</v>
      </c>
      <c r="T47" s="26">
        <f t="shared" si="2"/>
        <v>1.4320653846153844</v>
      </c>
    </row>
    <row r="48" spans="1:20" x14ac:dyDescent="0.3">
      <c r="A48" s="17">
        <v>2025</v>
      </c>
      <c r="B48" s="6">
        <v>10</v>
      </c>
      <c r="C48" s="6" t="s">
        <v>4</v>
      </c>
      <c r="D48" s="6" t="s">
        <v>6</v>
      </c>
      <c r="E48" s="4"/>
      <c r="J48" s="5"/>
      <c r="N48" s="11"/>
    </row>
    <row r="49" spans="1:14" x14ac:dyDescent="0.3">
      <c r="A49" s="17">
        <v>2025</v>
      </c>
      <c r="B49" s="6">
        <v>10</v>
      </c>
      <c r="C49" s="6" t="s">
        <v>4</v>
      </c>
      <c r="D49" s="6" t="s">
        <v>7</v>
      </c>
      <c r="E49" s="2">
        <f>H49</f>
        <v>708750</v>
      </c>
      <c r="H49" s="29">
        <f>N49/M49</f>
        <v>708750</v>
      </c>
      <c r="J49" s="3">
        <f>H49/E31</f>
        <v>1.1624999999999999</v>
      </c>
      <c r="M49" s="19">
        <f>M43</f>
        <v>28</v>
      </c>
      <c r="N49" s="20">
        <v>19845000</v>
      </c>
    </row>
    <row r="50" spans="1:14" x14ac:dyDescent="0.3">
      <c r="A50" s="17">
        <v>2025</v>
      </c>
      <c r="B50" s="6">
        <v>10</v>
      </c>
      <c r="C50" s="6" t="s">
        <v>9</v>
      </c>
      <c r="D50" s="6" t="s">
        <v>10</v>
      </c>
      <c r="E50" s="4"/>
      <c r="J50" s="5"/>
      <c r="N50" s="11"/>
    </row>
    <row r="51" spans="1:14" x14ac:dyDescent="0.3">
      <c r="A51" s="17">
        <v>2025</v>
      </c>
      <c r="B51" s="6">
        <v>10</v>
      </c>
      <c r="C51" s="6" t="s">
        <v>9</v>
      </c>
      <c r="D51" s="6" t="s">
        <v>8</v>
      </c>
      <c r="E51" s="2">
        <f>E33*J51</f>
        <v>262805.26918310253</v>
      </c>
      <c r="J51" s="3">
        <f>J52</f>
        <v>1.4292915641025639</v>
      </c>
      <c r="N51" s="11"/>
    </row>
    <row r="52" spans="1:14" x14ac:dyDescent="0.3">
      <c r="A52" s="17">
        <v>2025</v>
      </c>
      <c r="B52" s="6">
        <v>10</v>
      </c>
      <c r="C52" s="6" t="s">
        <v>9</v>
      </c>
      <c r="D52" s="6" t="s">
        <v>3</v>
      </c>
      <c r="E52" s="2">
        <f t="shared" ref="E52:E53" si="3">E34*J52</f>
        <v>262805.26918310253</v>
      </c>
      <c r="J52" s="3">
        <f>J53</f>
        <v>1.4292915641025639</v>
      </c>
      <c r="N52" s="11"/>
    </row>
    <row r="53" spans="1:14" x14ac:dyDescent="0.3">
      <c r="A53" s="17">
        <v>2025</v>
      </c>
      <c r="B53" s="6">
        <v>10</v>
      </c>
      <c r="C53" s="6" t="s">
        <v>9</v>
      </c>
      <c r="D53" s="6" t="s">
        <v>5</v>
      </c>
      <c r="E53" s="2">
        <f t="shared" si="3"/>
        <v>166882.65373305127</v>
      </c>
      <c r="I53" s="35">
        <f>SUM(H43:H55)</f>
        <v>977600.56571428571</v>
      </c>
      <c r="J53" s="3">
        <f>J55</f>
        <v>1.4292915641025639</v>
      </c>
      <c r="N53" s="11"/>
    </row>
    <row r="54" spans="1:14" x14ac:dyDescent="0.3">
      <c r="A54" s="17">
        <v>2025</v>
      </c>
      <c r="B54" s="6">
        <v>10</v>
      </c>
      <c r="C54" s="6" t="s">
        <v>9</v>
      </c>
      <c r="D54" s="6" t="s">
        <v>6</v>
      </c>
      <c r="E54" s="4"/>
      <c r="J54" s="5"/>
      <c r="N54" s="11"/>
    </row>
    <row r="55" spans="1:14" ht="17.25" thickBot="1" x14ac:dyDescent="0.35">
      <c r="A55" s="18">
        <v>2025</v>
      </c>
      <c r="B55" s="15">
        <v>10</v>
      </c>
      <c r="C55" s="15" t="s">
        <v>9</v>
      </c>
      <c r="D55" s="15" t="s">
        <v>7</v>
      </c>
      <c r="E55" s="13">
        <f>H55</f>
        <v>143851.28</v>
      </c>
      <c r="F55" s="12"/>
      <c r="G55" s="12"/>
      <c r="H55" s="30">
        <f>N55/M55</f>
        <v>143851.28</v>
      </c>
      <c r="I55" s="34">
        <f>SUM(H43:H55)*M55</f>
        <v>27372815.84</v>
      </c>
      <c r="J55" s="14">
        <f>H55/E37</f>
        <v>1.4292915641025639</v>
      </c>
      <c r="K55" s="12"/>
      <c r="L55" s="12"/>
      <c r="M55" s="21">
        <f>M49</f>
        <v>28</v>
      </c>
      <c r="N55" s="22">
        <v>4027835.8400000003</v>
      </c>
    </row>
    <row r="56" spans="1:14" x14ac:dyDescent="0.3">
      <c r="A56" s="16">
        <v>2025</v>
      </c>
      <c r="B56" s="9">
        <v>11</v>
      </c>
      <c r="C56" s="9" t="s">
        <v>2</v>
      </c>
      <c r="D56" s="9" t="s">
        <v>10</v>
      </c>
      <c r="E56" s="8"/>
      <c r="F56" s="7"/>
      <c r="G56" s="7"/>
      <c r="H56" s="28"/>
      <c r="I56" s="33"/>
      <c r="J56" s="7"/>
      <c r="K56" s="7"/>
      <c r="L56" s="7"/>
      <c r="M56" s="9" t="s">
        <v>14</v>
      </c>
      <c r="N56" s="10" t="s">
        <v>15</v>
      </c>
    </row>
    <row r="57" spans="1:14" x14ac:dyDescent="0.3">
      <c r="A57" s="17">
        <v>2025</v>
      </c>
      <c r="B57" s="6">
        <v>11</v>
      </c>
      <c r="C57" s="6" t="s">
        <v>2</v>
      </c>
      <c r="D57" s="6" t="s">
        <v>8</v>
      </c>
      <c r="E57" s="2">
        <f>E39*J57</f>
        <v>203945.9</v>
      </c>
      <c r="J57" s="3">
        <f>J58</f>
        <v>0.93333333333333335</v>
      </c>
      <c r="N57" s="11"/>
    </row>
    <row r="58" spans="1:14" x14ac:dyDescent="0.3">
      <c r="A58" s="17">
        <v>2025</v>
      </c>
      <c r="B58" s="6">
        <v>11</v>
      </c>
      <c r="C58" s="6" t="s">
        <v>2</v>
      </c>
      <c r="D58" s="6" t="s">
        <v>3</v>
      </c>
      <c r="E58" s="2">
        <f t="shared" ref="E58:E59" si="4">E40*J58</f>
        <v>203945.9</v>
      </c>
      <c r="J58" s="3">
        <f>J59</f>
        <v>0.93333333333333335</v>
      </c>
      <c r="N58" s="11"/>
    </row>
    <row r="59" spans="1:14" x14ac:dyDescent="0.3">
      <c r="A59" s="17">
        <v>2025</v>
      </c>
      <c r="B59" s="6">
        <v>11</v>
      </c>
      <c r="C59" s="6" t="s">
        <v>2</v>
      </c>
      <c r="D59" s="6" t="s">
        <v>5</v>
      </c>
      <c r="E59" s="2">
        <f t="shared" si="4"/>
        <v>122450.00000000001</v>
      </c>
      <c r="J59" s="3">
        <f>J61</f>
        <v>0.93333333333333335</v>
      </c>
      <c r="N59" s="11"/>
    </row>
    <row r="60" spans="1:14" x14ac:dyDescent="0.3">
      <c r="A60" s="17">
        <v>2025</v>
      </c>
      <c r="B60" s="6">
        <v>11</v>
      </c>
      <c r="C60" s="6" t="s">
        <v>2</v>
      </c>
      <c r="D60" s="6" t="s">
        <v>6</v>
      </c>
      <c r="E60" s="4"/>
      <c r="J60" s="5"/>
      <c r="N60" s="11"/>
    </row>
    <row r="61" spans="1:14" x14ac:dyDescent="0.3">
      <c r="A61" s="17">
        <v>2025</v>
      </c>
      <c r="B61" s="6">
        <v>11</v>
      </c>
      <c r="C61" s="6" t="s">
        <v>2</v>
      </c>
      <c r="D61" s="6" t="s">
        <v>7</v>
      </c>
      <c r="E61" s="2">
        <f>H61</f>
        <v>116666</v>
      </c>
      <c r="H61" s="29">
        <f>N61/M61</f>
        <v>116666</v>
      </c>
      <c r="J61" s="3">
        <f>H61/E43</f>
        <v>0.93333333333333335</v>
      </c>
      <c r="M61" s="31">
        <v>30</v>
      </c>
      <c r="N61" s="20">
        <v>3499980</v>
      </c>
    </row>
    <row r="62" spans="1:14" x14ac:dyDescent="0.3">
      <c r="A62" s="17">
        <v>2025</v>
      </c>
      <c r="B62" s="6">
        <v>11</v>
      </c>
      <c r="C62" s="6" t="s">
        <v>4</v>
      </c>
      <c r="D62" s="6" t="s">
        <v>10</v>
      </c>
      <c r="E62" s="2"/>
      <c r="J62" s="5"/>
      <c r="N62" s="11"/>
    </row>
    <row r="63" spans="1:14" x14ac:dyDescent="0.3">
      <c r="A63" s="17">
        <v>2025</v>
      </c>
      <c r="B63" s="6">
        <v>11</v>
      </c>
      <c r="C63" s="6" t="s">
        <v>4</v>
      </c>
      <c r="D63" s="6" t="s">
        <v>8</v>
      </c>
      <c r="E63" s="2">
        <f>E45*J63</f>
        <v>822110.00766666653</v>
      </c>
      <c r="J63" s="3">
        <f>J64</f>
        <v>0.95259259259259255</v>
      </c>
      <c r="N63" s="11"/>
    </row>
    <row r="64" spans="1:14" x14ac:dyDescent="0.3">
      <c r="A64" s="17">
        <v>2025</v>
      </c>
      <c r="B64" s="6">
        <v>11</v>
      </c>
      <c r="C64" s="6" t="s">
        <v>4</v>
      </c>
      <c r="D64" s="6" t="s">
        <v>3</v>
      </c>
      <c r="E64" s="2">
        <f t="shared" ref="E64:E65" si="5">E46*J64</f>
        <v>822110.00766666653</v>
      </c>
      <c r="J64" s="3">
        <f>J65</f>
        <v>0.95259259259259255</v>
      </c>
      <c r="N64" s="11"/>
    </row>
    <row r="65" spans="1:14" x14ac:dyDescent="0.3">
      <c r="A65" s="17">
        <v>2025</v>
      </c>
      <c r="B65" s="6">
        <v>11</v>
      </c>
      <c r="C65" s="6" t="s">
        <v>4</v>
      </c>
      <c r="D65" s="6" t="s">
        <v>5</v>
      </c>
      <c r="E65" s="2">
        <f t="shared" si="5"/>
        <v>720575.73522222217</v>
      </c>
      <c r="J65" s="3">
        <f>J67</f>
        <v>0.95259259259259255</v>
      </c>
      <c r="N65" s="11"/>
    </row>
    <row r="66" spans="1:14" x14ac:dyDescent="0.3">
      <c r="A66" s="17">
        <v>2025</v>
      </c>
      <c r="B66" s="6">
        <v>11</v>
      </c>
      <c r="C66" s="6" t="s">
        <v>4</v>
      </c>
      <c r="D66" s="6" t="s">
        <v>6</v>
      </c>
      <c r="E66" s="4"/>
      <c r="J66" s="5"/>
      <c r="N66" s="11"/>
    </row>
    <row r="67" spans="1:14" x14ac:dyDescent="0.3">
      <c r="A67" s="17">
        <v>2025</v>
      </c>
      <c r="B67" s="6">
        <v>11</v>
      </c>
      <c r="C67" s="6" t="s">
        <v>4</v>
      </c>
      <c r="D67" s="6" t="s">
        <v>7</v>
      </c>
      <c r="E67" s="2">
        <f>H67</f>
        <v>675150</v>
      </c>
      <c r="H67" s="29">
        <f>N67/M67</f>
        <v>675150</v>
      </c>
      <c r="J67" s="3">
        <f>H67/E49</f>
        <v>0.95259259259259255</v>
      </c>
      <c r="M67" s="19">
        <f>M61</f>
        <v>30</v>
      </c>
      <c r="N67" s="20">
        <v>20254500</v>
      </c>
    </row>
    <row r="68" spans="1:14" x14ac:dyDescent="0.3">
      <c r="A68" s="17">
        <v>2025</v>
      </c>
      <c r="B68" s="6">
        <v>11</v>
      </c>
      <c r="C68" s="6" t="s">
        <v>9</v>
      </c>
      <c r="D68" s="6" t="s">
        <v>10</v>
      </c>
      <c r="E68" s="4"/>
      <c r="J68" s="5"/>
      <c r="N68" s="11"/>
    </row>
    <row r="69" spans="1:14" x14ac:dyDescent="0.3">
      <c r="A69" s="17">
        <v>2025</v>
      </c>
      <c r="B69" s="6">
        <v>11</v>
      </c>
      <c r="C69" s="6" t="s">
        <v>9</v>
      </c>
      <c r="D69" s="6" t="s">
        <v>8</v>
      </c>
      <c r="E69" s="2">
        <f>E51*J69</f>
        <v>272092.47081243584</v>
      </c>
      <c r="J69" s="3">
        <f>J70</f>
        <v>1.0353387192661754</v>
      </c>
      <c r="N69" s="11"/>
    </row>
    <row r="70" spans="1:14" x14ac:dyDescent="0.3">
      <c r="A70" s="17">
        <v>2025</v>
      </c>
      <c r="B70" s="6">
        <v>11</v>
      </c>
      <c r="C70" s="6" t="s">
        <v>9</v>
      </c>
      <c r="D70" s="6" t="s">
        <v>3</v>
      </c>
      <c r="E70" s="2">
        <f t="shared" ref="E70:E71" si="6">E52*J70</f>
        <v>272092.47081243584</v>
      </c>
      <c r="J70" s="3">
        <f>J71</f>
        <v>1.0353387192661754</v>
      </c>
      <c r="N70" s="11"/>
    </row>
    <row r="71" spans="1:14" x14ac:dyDescent="0.3">
      <c r="A71" s="17">
        <v>2025</v>
      </c>
      <c r="B71" s="6">
        <v>11</v>
      </c>
      <c r="C71" s="6" t="s">
        <v>9</v>
      </c>
      <c r="D71" s="6" t="s">
        <v>5</v>
      </c>
      <c r="E71" s="2">
        <f t="shared" si="6"/>
        <v>172780.07298371792</v>
      </c>
      <c r="I71" s="35">
        <f>SUM(H61:H73)</f>
        <v>940750.8</v>
      </c>
      <c r="J71" s="3">
        <f>J73</f>
        <v>1.0353387192661754</v>
      </c>
      <c r="N71" s="11"/>
    </row>
    <row r="72" spans="1:14" x14ac:dyDescent="0.3">
      <c r="A72" s="17">
        <v>2025</v>
      </c>
      <c r="B72" s="6">
        <v>11</v>
      </c>
      <c r="C72" s="6" t="s">
        <v>9</v>
      </c>
      <c r="D72" s="6" t="s">
        <v>6</v>
      </c>
      <c r="E72" s="4"/>
      <c r="J72" s="5"/>
      <c r="N72" s="11"/>
    </row>
    <row r="73" spans="1:14" ht="17.25" thickBot="1" x14ac:dyDescent="0.35">
      <c r="A73" s="18">
        <v>2025</v>
      </c>
      <c r="B73" s="15">
        <v>11</v>
      </c>
      <c r="C73" s="15" t="s">
        <v>9</v>
      </c>
      <c r="D73" s="15" t="s">
        <v>7</v>
      </c>
      <c r="E73" s="13">
        <f>H73</f>
        <v>148934.79999999999</v>
      </c>
      <c r="F73" s="12"/>
      <c r="G73" s="12"/>
      <c r="H73" s="30">
        <f>N73/M73</f>
        <v>148934.79999999999</v>
      </c>
      <c r="I73" s="34">
        <f>SUM(H61:H73)*M73</f>
        <v>28222524</v>
      </c>
      <c r="J73" s="14">
        <f>H73/E55</f>
        <v>1.0353387192661754</v>
      </c>
      <c r="K73" s="12"/>
      <c r="L73" s="12"/>
      <c r="M73" s="21">
        <f>M67</f>
        <v>30</v>
      </c>
      <c r="N73" s="22">
        <v>4468044</v>
      </c>
    </row>
    <row r="74" spans="1:14" x14ac:dyDescent="0.3">
      <c r="A74" s="16">
        <v>2025</v>
      </c>
      <c r="B74" s="9">
        <v>12</v>
      </c>
      <c r="C74" s="9" t="s">
        <v>2</v>
      </c>
      <c r="D74" s="9" t="s">
        <v>10</v>
      </c>
      <c r="E74" s="8"/>
      <c r="F74" s="7"/>
      <c r="G74" s="7"/>
      <c r="H74" s="28"/>
      <c r="I74" s="33"/>
      <c r="J74" s="7"/>
      <c r="K74" s="7"/>
      <c r="L74" s="7"/>
      <c r="M74" s="9" t="s">
        <v>14</v>
      </c>
      <c r="N74" s="10" t="s">
        <v>15</v>
      </c>
    </row>
    <row r="75" spans="1:14" x14ac:dyDescent="0.3">
      <c r="A75" s="17">
        <v>2025</v>
      </c>
      <c r="B75" s="6">
        <v>12</v>
      </c>
      <c r="C75" s="6" t="s">
        <v>2</v>
      </c>
      <c r="D75" s="6" t="s">
        <v>8</v>
      </c>
      <c r="E75" s="2">
        <f>E57*J75</f>
        <v>197367</v>
      </c>
      <c r="J75" s="3">
        <f>J76</f>
        <v>0.967741935483871</v>
      </c>
      <c r="N75" s="11"/>
    </row>
    <row r="76" spans="1:14" x14ac:dyDescent="0.3">
      <c r="A76" s="17">
        <v>2025</v>
      </c>
      <c r="B76" s="6">
        <v>12</v>
      </c>
      <c r="C76" s="6" t="s">
        <v>2</v>
      </c>
      <c r="D76" s="6" t="s">
        <v>3</v>
      </c>
      <c r="E76" s="2">
        <f t="shared" ref="E76:E77" si="7">E58*J76</f>
        <v>197367</v>
      </c>
      <c r="J76" s="3">
        <f>J77</f>
        <v>0.967741935483871</v>
      </c>
      <c r="N76" s="11"/>
    </row>
    <row r="77" spans="1:14" x14ac:dyDescent="0.3">
      <c r="A77" s="17">
        <v>2025</v>
      </c>
      <c r="B77" s="6">
        <v>12</v>
      </c>
      <c r="C77" s="6" t="s">
        <v>2</v>
      </c>
      <c r="D77" s="6" t="s">
        <v>5</v>
      </c>
      <c r="E77" s="2">
        <f t="shared" si="7"/>
        <v>118500.00000000001</v>
      </c>
      <c r="J77" s="3">
        <f>J79</f>
        <v>0.967741935483871</v>
      </c>
      <c r="N77" s="11"/>
    </row>
    <row r="78" spans="1:14" x14ac:dyDescent="0.3">
      <c r="A78" s="17">
        <v>2025</v>
      </c>
      <c r="B78" s="6">
        <v>12</v>
      </c>
      <c r="C78" s="6" t="s">
        <v>2</v>
      </c>
      <c r="D78" s="6" t="s">
        <v>6</v>
      </c>
      <c r="E78" s="4"/>
      <c r="J78" s="5"/>
      <c r="N78" s="11"/>
    </row>
    <row r="79" spans="1:14" x14ac:dyDescent="0.3">
      <c r="A79" s="17">
        <v>2025</v>
      </c>
      <c r="B79" s="6">
        <v>12</v>
      </c>
      <c r="C79" s="6" t="s">
        <v>2</v>
      </c>
      <c r="D79" s="6" t="s">
        <v>7</v>
      </c>
      <c r="E79" s="2">
        <f>H79</f>
        <v>112902.58064516129</v>
      </c>
      <c r="H79" s="29">
        <f>N79/M79</f>
        <v>112902.58064516129</v>
      </c>
      <c r="J79" s="3">
        <f>H79/E61</f>
        <v>0.967741935483871</v>
      </c>
      <c r="M79" s="31">
        <v>31</v>
      </c>
      <c r="N79" s="20">
        <v>3499980</v>
      </c>
    </row>
    <row r="80" spans="1:14" x14ac:dyDescent="0.3">
      <c r="A80" s="17">
        <v>2025</v>
      </c>
      <c r="B80" s="6">
        <v>12</v>
      </c>
      <c r="C80" s="6" t="s">
        <v>4</v>
      </c>
      <c r="D80" s="6" t="s">
        <v>10</v>
      </c>
      <c r="E80" s="2"/>
      <c r="J80" s="5"/>
      <c r="N80" s="11"/>
    </row>
    <row r="81" spans="1:14" x14ac:dyDescent="0.3">
      <c r="A81" s="17">
        <v>2025</v>
      </c>
      <c r="B81" s="6">
        <v>12</v>
      </c>
      <c r="C81" s="6" t="s">
        <v>4</v>
      </c>
      <c r="D81" s="6" t="s">
        <v>8</v>
      </c>
      <c r="E81" s="2">
        <f>E63*J81</f>
        <v>811675.35999999987</v>
      </c>
      <c r="J81" s="3">
        <f>J82</f>
        <v>0.98730748005819491</v>
      </c>
      <c r="N81" s="11"/>
    </row>
    <row r="82" spans="1:14" x14ac:dyDescent="0.3">
      <c r="A82" s="17">
        <v>2025</v>
      </c>
      <c r="B82" s="6">
        <v>12</v>
      </c>
      <c r="C82" s="6" t="s">
        <v>4</v>
      </c>
      <c r="D82" s="6" t="s">
        <v>3</v>
      </c>
      <c r="E82" s="2">
        <f t="shared" ref="E82:E83" si="8">E64*J82</f>
        <v>811675.35999999987</v>
      </c>
      <c r="J82" s="3">
        <f>J83</f>
        <v>0.98730748005819491</v>
      </c>
      <c r="N82" s="11"/>
    </row>
    <row r="83" spans="1:14" x14ac:dyDescent="0.3">
      <c r="A83" s="17">
        <v>2025</v>
      </c>
      <c r="B83" s="6">
        <v>12</v>
      </c>
      <c r="C83" s="6" t="s">
        <v>4</v>
      </c>
      <c r="D83" s="6" t="s">
        <v>5</v>
      </c>
      <c r="E83" s="2">
        <f t="shared" si="8"/>
        <v>711429.81333333324</v>
      </c>
      <c r="J83" s="3">
        <f>J85</f>
        <v>0.98730748005819491</v>
      </c>
      <c r="N83" s="11"/>
    </row>
    <row r="84" spans="1:14" x14ac:dyDescent="0.3">
      <c r="A84" s="17">
        <v>2025</v>
      </c>
      <c r="B84" s="6">
        <v>12</v>
      </c>
      <c r="C84" s="6" t="s">
        <v>4</v>
      </c>
      <c r="D84" s="6" t="s">
        <v>6</v>
      </c>
      <c r="E84" s="4"/>
      <c r="J84" s="5"/>
      <c r="N84" s="11"/>
    </row>
    <row r="85" spans="1:14" x14ac:dyDescent="0.3">
      <c r="A85" s="17">
        <v>2025</v>
      </c>
      <c r="B85" s="6">
        <v>12</v>
      </c>
      <c r="C85" s="6" t="s">
        <v>4</v>
      </c>
      <c r="D85" s="6" t="s">
        <v>7</v>
      </c>
      <c r="E85" s="2">
        <f>H85</f>
        <v>666580.6451612903</v>
      </c>
      <c r="H85" s="29">
        <f>N85/M85</f>
        <v>666580.6451612903</v>
      </c>
      <c r="J85" s="3">
        <f>H85/E67</f>
        <v>0.98730748005819491</v>
      </c>
      <c r="M85" s="19">
        <f>M79</f>
        <v>31</v>
      </c>
      <c r="N85" s="20">
        <v>20664000</v>
      </c>
    </row>
    <row r="86" spans="1:14" x14ac:dyDescent="0.3">
      <c r="A86" s="17">
        <v>2025</v>
      </c>
      <c r="B86" s="6">
        <v>12</v>
      </c>
      <c r="C86" s="6" t="s">
        <v>9</v>
      </c>
      <c r="D86" s="6" t="s">
        <v>10</v>
      </c>
      <c r="E86" s="4"/>
      <c r="J86" s="5"/>
      <c r="N86" s="11"/>
    </row>
    <row r="87" spans="1:14" x14ac:dyDescent="0.3">
      <c r="A87" s="17">
        <v>2025</v>
      </c>
      <c r="B87" s="6">
        <v>12</v>
      </c>
      <c r="C87" s="6" t="s">
        <v>9</v>
      </c>
      <c r="D87" s="6" t="s">
        <v>8</v>
      </c>
      <c r="E87" s="2">
        <f>E69*J87</f>
        <v>263315.29433461535</v>
      </c>
      <c r="J87" s="3">
        <f>J88</f>
        <v>0.967741935483871</v>
      </c>
      <c r="N87" s="11"/>
    </row>
    <row r="88" spans="1:14" x14ac:dyDescent="0.3">
      <c r="A88" s="17">
        <v>2025</v>
      </c>
      <c r="B88" s="6">
        <v>12</v>
      </c>
      <c r="C88" s="6" t="s">
        <v>9</v>
      </c>
      <c r="D88" s="6" t="s">
        <v>3</v>
      </c>
      <c r="E88" s="2">
        <f t="shared" ref="E88:E89" si="9">E70*J88</f>
        <v>263315.29433461535</v>
      </c>
      <c r="J88" s="3">
        <f>J89</f>
        <v>0.967741935483871</v>
      </c>
      <c r="N88" s="11"/>
    </row>
    <row r="89" spans="1:14" x14ac:dyDescent="0.3">
      <c r="A89" s="17">
        <v>2025</v>
      </c>
      <c r="B89" s="6">
        <v>12</v>
      </c>
      <c r="C89" s="6" t="s">
        <v>9</v>
      </c>
      <c r="D89" s="6" t="s">
        <v>5</v>
      </c>
      <c r="E89" s="2">
        <f t="shared" si="9"/>
        <v>167206.52224230766</v>
      </c>
      <c r="I89" s="35">
        <f>SUM(H79:H91)</f>
        <v>923613.67741935491</v>
      </c>
      <c r="J89" s="3">
        <f>J91</f>
        <v>0.967741935483871</v>
      </c>
      <c r="N89" s="11"/>
    </row>
    <row r="90" spans="1:14" x14ac:dyDescent="0.3">
      <c r="A90" s="17">
        <v>2025</v>
      </c>
      <c r="B90" s="6">
        <v>12</v>
      </c>
      <c r="C90" s="6" t="s">
        <v>9</v>
      </c>
      <c r="D90" s="6" t="s">
        <v>6</v>
      </c>
      <c r="E90" s="4"/>
      <c r="J90" s="5"/>
      <c r="N90" s="11"/>
    </row>
    <row r="91" spans="1:14" ht="17.25" thickBot="1" x14ac:dyDescent="0.35">
      <c r="A91" s="18">
        <v>2025</v>
      </c>
      <c r="B91" s="15">
        <v>12</v>
      </c>
      <c r="C91" s="15" t="s">
        <v>9</v>
      </c>
      <c r="D91" s="15" t="s">
        <v>7</v>
      </c>
      <c r="E91" s="13">
        <f>H91</f>
        <v>144130.45161290321</v>
      </c>
      <c r="F91" s="12"/>
      <c r="G91" s="12"/>
      <c r="H91" s="30">
        <f>N91/M91</f>
        <v>144130.45161290321</v>
      </c>
      <c r="I91" s="34">
        <f>SUM(H79:H91)*M91</f>
        <v>28632024.000000004</v>
      </c>
      <c r="J91" s="14">
        <f>H91/E73</f>
        <v>0.967741935483871</v>
      </c>
      <c r="K91" s="12"/>
      <c r="L91" s="12"/>
      <c r="M91" s="21">
        <f>M85</f>
        <v>31</v>
      </c>
      <c r="N91" s="22">
        <v>4468044</v>
      </c>
    </row>
    <row r="92" spans="1:14" x14ac:dyDescent="0.3">
      <c r="A92" s="16">
        <v>2026</v>
      </c>
      <c r="B92" s="9">
        <v>1</v>
      </c>
      <c r="C92" s="9" t="s">
        <v>2</v>
      </c>
      <c r="D92" s="9" t="s">
        <v>10</v>
      </c>
      <c r="E92" s="8"/>
      <c r="F92" s="7"/>
      <c r="G92" s="7"/>
      <c r="H92" s="28"/>
      <c r="I92" s="33"/>
      <c r="J92" s="7"/>
      <c r="K92" s="7"/>
      <c r="L92" s="7"/>
      <c r="M92" s="9" t="s">
        <v>14</v>
      </c>
      <c r="N92" s="10" t="s">
        <v>15</v>
      </c>
    </row>
    <row r="93" spans="1:14" x14ac:dyDescent="0.3">
      <c r="A93" s="17">
        <v>2026</v>
      </c>
      <c r="B93" s="6">
        <v>1</v>
      </c>
      <c r="C93" s="6" t="s">
        <v>2</v>
      </c>
      <c r="D93" s="6" t="s">
        <v>8</v>
      </c>
      <c r="E93" s="2">
        <f>E75*J93</f>
        <v>238080.72377061145</v>
      </c>
      <c r="J93" s="3">
        <f>J94</f>
        <v>1.2062843523517683</v>
      </c>
      <c r="N93" s="11"/>
    </row>
    <row r="94" spans="1:14" x14ac:dyDescent="0.3">
      <c r="A94" s="17">
        <v>2026</v>
      </c>
      <c r="B94" s="6">
        <v>1</v>
      </c>
      <c r="C94" s="6" t="s">
        <v>2</v>
      </c>
      <c r="D94" s="6" t="s">
        <v>3</v>
      </c>
      <c r="E94" s="2">
        <f t="shared" ref="E94:E95" si="10">E76*J94</f>
        <v>238080.72377061145</v>
      </c>
      <c r="J94" s="3">
        <f>J95</f>
        <v>1.2062843523517683</v>
      </c>
      <c r="N94" s="11"/>
    </row>
    <row r="95" spans="1:14" x14ac:dyDescent="0.3">
      <c r="A95" s="17">
        <v>2026</v>
      </c>
      <c r="B95" s="6">
        <v>1</v>
      </c>
      <c r="C95" s="6" t="s">
        <v>2</v>
      </c>
      <c r="D95" s="6" t="s">
        <v>5</v>
      </c>
      <c r="E95" s="2">
        <f t="shared" si="10"/>
        <v>142944.69575368456</v>
      </c>
      <c r="J95" s="3">
        <f>J97</f>
        <v>1.2062843523517683</v>
      </c>
      <c r="N95" s="11"/>
    </row>
    <row r="96" spans="1:14" x14ac:dyDescent="0.3">
      <c r="A96" s="17">
        <v>2026</v>
      </c>
      <c r="B96" s="6">
        <v>1</v>
      </c>
      <c r="C96" s="6" t="s">
        <v>2</v>
      </c>
      <c r="D96" s="6" t="s">
        <v>6</v>
      </c>
      <c r="E96" s="4"/>
      <c r="J96" s="5"/>
      <c r="N96" s="11"/>
    </row>
    <row r="97" spans="1:14" x14ac:dyDescent="0.3">
      <c r="A97" s="17">
        <v>2026</v>
      </c>
      <c r="B97" s="6">
        <v>1</v>
      </c>
      <c r="C97" s="6" t="s">
        <v>2</v>
      </c>
      <c r="D97" s="6" t="s">
        <v>7</v>
      </c>
      <c r="E97" s="2">
        <f>H97</f>
        <v>136192.61637239167</v>
      </c>
      <c r="H97" s="29">
        <f>N97/M97</f>
        <v>136192.61637239167</v>
      </c>
      <c r="J97" s="3">
        <f>H97/E79</f>
        <v>1.2062843523517683</v>
      </c>
      <c r="M97" s="31">
        <v>27</v>
      </c>
      <c r="N97" s="20">
        <v>3677200.642054575</v>
      </c>
    </row>
    <row r="98" spans="1:14" x14ac:dyDescent="0.3">
      <c r="A98" s="17">
        <v>2026</v>
      </c>
      <c r="B98" s="6">
        <v>1</v>
      </c>
      <c r="C98" s="6" t="s">
        <v>4</v>
      </c>
      <c r="D98" s="6" t="s">
        <v>10</v>
      </c>
      <c r="E98" s="2"/>
      <c r="J98" s="5"/>
      <c r="N98" s="11"/>
    </row>
    <row r="99" spans="1:14" x14ac:dyDescent="0.3">
      <c r="A99" s="17">
        <v>2026</v>
      </c>
      <c r="B99" s="6">
        <v>1</v>
      </c>
      <c r="C99" s="6" t="s">
        <v>4</v>
      </c>
      <c r="D99" s="6" t="s">
        <v>8</v>
      </c>
      <c r="E99" s="2">
        <f>E81*J99</f>
        <v>953240.45929600985</v>
      </c>
      <c r="J99" s="3">
        <f>J100</f>
        <v>1.1744109853180833</v>
      </c>
      <c r="N99" s="11"/>
    </row>
    <row r="100" spans="1:14" x14ac:dyDescent="0.3">
      <c r="A100" s="17">
        <v>2026</v>
      </c>
      <c r="B100" s="6">
        <v>1</v>
      </c>
      <c r="C100" s="6" t="s">
        <v>4</v>
      </c>
      <c r="D100" s="6" t="s">
        <v>3</v>
      </c>
      <c r="E100" s="2">
        <f t="shared" ref="E100:E101" si="11">E82*J100</f>
        <v>953240.45929600985</v>
      </c>
      <c r="J100" s="3">
        <f>J101</f>
        <v>1.1744109853180833</v>
      </c>
      <c r="N100" s="11"/>
    </row>
    <row r="101" spans="1:14" x14ac:dyDescent="0.3">
      <c r="A101" s="17">
        <v>2026</v>
      </c>
      <c r="B101" s="6">
        <v>1</v>
      </c>
      <c r="C101" s="6" t="s">
        <v>4</v>
      </c>
      <c r="D101" s="6" t="s">
        <v>5</v>
      </c>
      <c r="E101" s="2">
        <f t="shared" si="11"/>
        <v>835510.98806145997</v>
      </c>
      <c r="J101" s="3">
        <f>J103</f>
        <v>1.1744109853180833</v>
      </c>
      <c r="N101" s="11"/>
    </row>
    <row r="102" spans="1:14" x14ac:dyDescent="0.3">
      <c r="A102" s="17">
        <v>2026</v>
      </c>
      <c r="B102" s="6">
        <v>1</v>
      </c>
      <c r="C102" s="6" t="s">
        <v>4</v>
      </c>
      <c r="D102" s="6" t="s">
        <v>6</v>
      </c>
      <c r="E102" s="4"/>
      <c r="J102" s="5"/>
      <c r="N102" s="11"/>
    </row>
    <row r="103" spans="1:14" x14ac:dyDescent="0.3">
      <c r="A103" s="17">
        <v>2026</v>
      </c>
      <c r="B103" s="6">
        <v>1</v>
      </c>
      <c r="C103" s="6" t="s">
        <v>4</v>
      </c>
      <c r="D103" s="6" t="s">
        <v>7</v>
      </c>
      <c r="E103" s="2">
        <f>H103</f>
        <v>782839.63227783458</v>
      </c>
      <c r="H103" s="29">
        <f>N103/M103</f>
        <v>782839.63227783458</v>
      </c>
      <c r="J103" s="3">
        <f>H103/E85</f>
        <v>1.1744109853180833</v>
      </c>
      <c r="M103" s="19">
        <v>27</v>
      </c>
      <c r="N103" s="20">
        <v>21136670.071501534</v>
      </c>
    </row>
    <row r="104" spans="1:14" x14ac:dyDescent="0.3">
      <c r="A104" s="17">
        <v>2026</v>
      </c>
      <c r="B104" s="6">
        <v>1</v>
      </c>
      <c r="C104" s="6" t="s">
        <v>9</v>
      </c>
      <c r="D104" s="6" t="s">
        <v>10</v>
      </c>
      <c r="E104" s="4"/>
      <c r="J104" s="5"/>
      <c r="N104" s="11"/>
    </row>
    <row r="105" spans="1:14" x14ac:dyDescent="0.3">
      <c r="A105" s="17">
        <v>2026</v>
      </c>
      <c r="B105" s="6">
        <v>1</v>
      </c>
      <c r="C105" s="6" t="s">
        <v>9</v>
      </c>
      <c r="D105" s="6" t="s">
        <v>8</v>
      </c>
      <c r="E105" s="2">
        <f>E87*J105</f>
        <v>307201.66127640143</v>
      </c>
      <c r="J105" s="3">
        <f>J106</f>
        <v>1.1666685068662068</v>
      </c>
      <c r="N105" s="11"/>
    </row>
    <row r="106" spans="1:14" x14ac:dyDescent="0.3">
      <c r="A106" s="17">
        <v>2026</v>
      </c>
      <c r="B106" s="6">
        <v>1</v>
      </c>
      <c r="C106" s="6" t="s">
        <v>9</v>
      </c>
      <c r="D106" s="6" t="s">
        <v>3</v>
      </c>
      <c r="E106" s="2">
        <f t="shared" ref="E106:E107" si="12">E88*J106</f>
        <v>307201.66127640143</v>
      </c>
      <c r="J106" s="3">
        <f>J107</f>
        <v>1.1666685068662068</v>
      </c>
      <c r="N106" s="11"/>
    </row>
    <row r="107" spans="1:14" x14ac:dyDescent="0.3">
      <c r="A107" s="17">
        <v>2026</v>
      </c>
      <c r="B107" s="6">
        <v>1</v>
      </c>
      <c r="C107" s="6" t="s">
        <v>9</v>
      </c>
      <c r="D107" s="6" t="s">
        <v>5</v>
      </c>
      <c r="E107" s="2">
        <f t="shared" si="12"/>
        <v>195074.58364272429</v>
      </c>
      <c r="I107" s="35">
        <f>SUM(H97:H109)</f>
        <v>1087184.7074274041</v>
      </c>
      <c r="J107" s="3">
        <f>J109</f>
        <v>1.1666685068662068</v>
      </c>
      <c r="N107" s="11"/>
    </row>
    <row r="108" spans="1:14" x14ac:dyDescent="0.3">
      <c r="A108" s="17">
        <v>2026</v>
      </c>
      <c r="B108" s="6">
        <v>1</v>
      </c>
      <c r="C108" s="6" t="s">
        <v>9</v>
      </c>
      <c r="D108" s="6" t="s">
        <v>6</v>
      </c>
      <c r="E108" s="4"/>
      <c r="J108" s="5"/>
      <c r="N108" s="11"/>
    </row>
    <row r="109" spans="1:14" ht="17.25" thickBot="1" x14ac:dyDescent="0.35">
      <c r="A109" s="18">
        <v>2026</v>
      </c>
      <c r="B109" s="15">
        <v>1</v>
      </c>
      <c r="C109" s="15" t="s">
        <v>9</v>
      </c>
      <c r="D109" s="15" t="s">
        <v>7</v>
      </c>
      <c r="E109" s="13">
        <f>H109</f>
        <v>168152.45877717788</v>
      </c>
      <c r="F109" s="12"/>
      <c r="G109" s="12"/>
      <c r="H109" s="30">
        <f>N109/M109</f>
        <v>168152.45877717788</v>
      </c>
      <c r="I109" s="34">
        <f>SUM(H97:H109)*M109</f>
        <v>29353987.100539912</v>
      </c>
      <c r="J109" s="14">
        <f>H109/E91</f>
        <v>1.1666685068662068</v>
      </c>
      <c r="K109" s="12"/>
      <c r="L109" s="12"/>
      <c r="M109" s="21">
        <v>27</v>
      </c>
      <c r="N109" s="20">
        <v>4540116.3869838025</v>
      </c>
    </row>
    <row r="110" spans="1:14" x14ac:dyDescent="0.3">
      <c r="A110" s="16">
        <v>2026</v>
      </c>
      <c r="B110" s="9">
        <v>2</v>
      </c>
      <c r="C110" s="9" t="s">
        <v>2</v>
      </c>
      <c r="D110" s="9" t="s">
        <v>23</v>
      </c>
      <c r="E110" s="8"/>
      <c r="F110" s="7"/>
      <c r="G110" s="7"/>
      <c r="H110" s="28"/>
      <c r="I110" s="33"/>
      <c r="J110" s="7"/>
      <c r="K110" s="7"/>
      <c r="L110" s="7"/>
      <c r="M110" s="9" t="s">
        <v>14</v>
      </c>
      <c r="N110" s="10" t="s">
        <v>15</v>
      </c>
    </row>
    <row r="111" spans="1:14" x14ac:dyDescent="0.3">
      <c r="A111" s="17">
        <v>2026</v>
      </c>
      <c r="B111" s="6">
        <v>2</v>
      </c>
      <c r="C111" s="6" t="s">
        <v>2</v>
      </c>
      <c r="D111" s="6" t="s">
        <v>24</v>
      </c>
      <c r="E111" s="2">
        <f t="shared" ref="E111:E113" si="13">E93*J111</f>
        <v>214272.65139355027</v>
      </c>
      <c r="J111" s="3">
        <f t="shared" ref="J111:J112" si="14">J112</f>
        <v>0.89999999999999991</v>
      </c>
      <c r="N111" s="11"/>
    </row>
    <row r="112" spans="1:14" x14ac:dyDescent="0.3">
      <c r="A112" s="17">
        <v>2026</v>
      </c>
      <c r="B112" s="6">
        <v>2</v>
      </c>
      <c r="C112" s="6" t="s">
        <v>2</v>
      </c>
      <c r="D112" s="6" t="s">
        <v>25</v>
      </c>
      <c r="E112" s="2">
        <f t="shared" si="13"/>
        <v>214272.65139355027</v>
      </c>
      <c r="J112" s="3">
        <f t="shared" si="14"/>
        <v>0.89999999999999991</v>
      </c>
      <c r="N112" s="11"/>
    </row>
    <row r="113" spans="1:14" x14ac:dyDescent="0.3">
      <c r="A113" s="17">
        <v>2026</v>
      </c>
      <c r="B113" s="6">
        <v>2</v>
      </c>
      <c r="C113" s="6" t="s">
        <v>2</v>
      </c>
      <c r="D113" s="6" t="s">
        <v>26</v>
      </c>
      <c r="E113" s="2">
        <f t="shared" si="13"/>
        <v>128650.22617831609</v>
      </c>
      <c r="J113" s="3">
        <f t="shared" ref="J113" si="15">J115</f>
        <v>0.89999999999999991</v>
      </c>
      <c r="N113" s="11"/>
    </row>
    <row r="114" spans="1:14" x14ac:dyDescent="0.3">
      <c r="A114" s="17">
        <v>2026</v>
      </c>
      <c r="B114" s="6">
        <v>2</v>
      </c>
      <c r="C114" s="6" t="s">
        <v>2</v>
      </c>
      <c r="D114" s="6" t="s">
        <v>27</v>
      </c>
      <c r="E114" s="4"/>
      <c r="J114" s="5"/>
      <c r="N114" s="11"/>
    </row>
    <row r="115" spans="1:14" x14ac:dyDescent="0.3">
      <c r="A115" s="17">
        <v>2026</v>
      </c>
      <c r="B115" s="6">
        <v>2</v>
      </c>
      <c r="C115" s="6" t="s">
        <v>2</v>
      </c>
      <c r="D115" s="6" t="s">
        <v>28</v>
      </c>
      <c r="E115" s="2">
        <f t="shared" ref="E115" si="16">H115</f>
        <v>122573.35473515249</v>
      </c>
      <c r="H115" s="29">
        <f t="shared" ref="H115" si="17">N115/M115</f>
        <v>122573.35473515249</v>
      </c>
      <c r="J115" s="3">
        <f t="shared" ref="J115" si="18">H115/E97</f>
        <v>0.89999999999999991</v>
      </c>
      <c r="M115" s="31">
        <v>28</v>
      </c>
      <c r="N115" s="20">
        <v>3432053.9325842699</v>
      </c>
    </row>
    <row r="116" spans="1:14" x14ac:dyDescent="0.3">
      <c r="A116" s="17">
        <v>2026</v>
      </c>
      <c r="B116" s="6">
        <v>2</v>
      </c>
      <c r="C116" s="6" t="s">
        <v>4</v>
      </c>
      <c r="D116" s="6" t="s">
        <v>23</v>
      </c>
      <c r="E116" s="2"/>
      <c r="J116" s="5"/>
      <c r="N116" s="11"/>
    </row>
    <row r="117" spans="1:14" x14ac:dyDescent="0.3">
      <c r="A117" s="17">
        <v>2026</v>
      </c>
      <c r="B117" s="6">
        <v>2</v>
      </c>
      <c r="C117" s="6" t="s">
        <v>4</v>
      </c>
      <c r="D117" s="6" t="s">
        <v>24</v>
      </c>
      <c r="E117" s="2">
        <f t="shared" ref="E117:E119" si="19">E99*J117</f>
        <v>857916.4133664089</v>
      </c>
      <c r="J117" s="3">
        <f t="shared" ref="J117:J118" si="20">J118</f>
        <v>0.9</v>
      </c>
      <c r="N117" s="11"/>
    </row>
    <row r="118" spans="1:14" x14ac:dyDescent="0.3">
      <c r="A118" s="17">
        <v>2026</v>
      </c>
      <c r="B118" s="6">
        <v>2</v>
      </c>
      <c r="C118" s="6" t="s">
        <v>4</v>
      </c>
      <c r="D118" s="6" t="s">
        <v>25</v>
      </c>
      <c r="E118" s="2">
        <f t="shared" si="19"/>
        <v>857916.4133664089</v>
      </c>
      <c r="J118" s="3">
        <f t="shared" si="20"/>
        <v>0.9</v>
      </c>
      <c r="N118" s="11"/>
    </row>
    <row r="119" spans="1:14" x14ac:dyDescent="0.3">
      <c r="A119" s="17">
        <v>2026</v>
      </c>
      <c r="B119" s="6">
        <v>2</v>
      </c>
      <c r="C119" s="6" t="s">
        <v>4</v>
      </c>
      <c r="D119" s="6" t="s">
        <v>26</v>
      </c>
      <c r="E119" s="2">
        <f t="shared" si="19"/>
        <v>751959.88925531402</v>
      </c>
      <c r="J119" s="3">
        <f t="shared" ref="J119" si="21">J121</f>
        <v>0.9</v>
      </c>
      <c r="N119" s="11"/>
    </row>
    <row r="120" spans="1:14" x14ac:dyDescent="0.3">
      <c r="A120" s="17">
        <v>2026</v>
      </c>
      <c r="B120" s="6">
        <v>2</v>
      </c>
      <c r="C120" s="6" t="s">
        <v>4</v>
      </c>
      <c r="D120" s="6" t="s">
        <v>27</v>
      </c>
      <c r="E120" s="4"/>
      <c r="J120" s="5"/>
      <c r="N120" s="11"/>
    </row>
    <row r="121" spans="1:14" x14ac:dyDescent="0.3">
      <c r="A121" s="17">
        <v>2026</v>
      </c>
      <c r="B121" s="6">
        <v>2</v>
      </c>
      <c r="C121" s="6" t="s">
        <v>4</v>
      </c>
      <c r="D121" s="6" t="s">
        <v>28</v>
      </c>
      <c r="E121" s="2">
        <f t="shared" ref="E121" si="22">H121</f>
        <v>704555.66905005113</v>
      </c>
      <c r="H121" s="29">
        <f t="shared" ref="H121" si="23">N121/M121</f>
        <v>704555.66905005113</v>
      </c>
      <c r="J121" s="3">
        <f t="shared" ref="J121" si="24">H121/E103</f>
        <v>0.9</v>
      </c>
      <c r="M121" s="19">
        <v>28</v>
      </c>
      <c r="N121" s="20">
        <v>19727558.733401433</v>
      </c>
    </row>
    <row r="122" spans="1:14" x14ac:dyDescent="0.3">
      <c r="A122" s="17">
        <v>2026</v>
      </c>
      <c r="B122" s="6">
        <v>2</v>
      </c>
      <c r="C122" s="6" t="s">
        <v>9</v>
      </c>
      <c r="D122" s="6" t="s">
        <v>23</v>
      </c>
      <c r="E122" s="4"/>
      <c r="J122" s="5"/>
      <c r="N122" s="11"/>
    </row>
    <row r="123" spans="1:14" x14ac:dyDescent="0.3">
      <c r="A123" s="17">
        <v>2026</v>
      </c>
      <c r="B123" s="6">
        <v>2</v>
      </c>
      <c r="C123" s="6" t="s">
        <v>9</v>
      </c>
      <c r="D123" s="6" t="s">
        <v>24</v>
      </c>
      <c r="E123" s="2">
        <f t="shared" ref="E123:E125" si="25">E105*J123</f>
        <v>276481.49514876126</v>
      </c>
      <c r="J123" s="3">
        <f t="shared" ref="J123:J124" si="26">J124</f>
        <v>0.89999999999999991</v>
      </c>
      <c r="N123" s="11"/>
    </row>
    <row r="124" spans="1:14" x14ac:dyDescent="0.3">
      <c r="A124" s="17">
        <v>2026</v>
      </c>
      <c r="B124" s="6">
        <v>2</v>
      </c>
      <c r="C124" s="6" t="s">
        <v>9</v>
      </c>
      <c r="D124" s="6" t="s">
        <v>25</v>
      </c>
      <c r="E124" s="2">
        <f t="shared" si="25"/>
        <v>276481.49514876126</v>
      </c>
      <c r="J124" s="3">
        <f t="shared" si="26"/>
        <v>0.89999999999999991</v>
      </c>
      <c r="N124" s="11"/>
    </row>
    <row r="125" spans="1:14" x14ac:dyDescent="0.3">
      <c r="A125" s="17">
        <v>2026</v>
      </c>
      <c r="B125" s="6">
        <v>2</v>
      </c>
      <c r="C125" s="6" t="s">
        <v>9</v>
      </c>
      <c r="D125" s="6" t="s">
        <v>26</v>
      </c>
      <c r="E125" s="2">
        <f t="shared" si="25"/>
        <v>175567.12527845186</v>
      </c>
      <c r="I125" s="35">
        <f t="shared" ref="I125" si="27">SUM(H115:H127)</f>
        <v>978466.23668466369</v>
      </c>
      <c r="J125" s="3">
        <f t="shared" ref="J125" si="28">J127</f>
        <v>0.89999999999999991</v>
      </c>
      <c r="N125" s="11"/>
    </row>
    <row r="126" spans="1:14" x14ac:dyDescent="0.3">
      <c r="A126" s="17">
        <v>2026</v>
      </c>
      <c r="B126" s="6">
        <v>2</v>
      </c>
      <c r="C126" s="6" t="s">
        <v>9</v>
      </c>
      <c r="D126" s="6" t="s">
        <v>27</v>
      </c>
      <c r="E126" s="4"/>
      <c r="J126" s="5"/>
      <c r="N126" s="11"/>
    </row>
    <row r="127" spans="1:14" ht="17.25" thickBot="1" x14ac:dyDescent="0.35">
      <c r="A127" s="18">
        <v>2026</v>
      </c>
      <c r="B127" s="15">
        <v>2</v>
      </c>
      <c r="C127" s="15" t="s">
        <v>9</v>
      </c>
      <c r="D127" s="15" t="s">
        <v>28</v>
      </c>
      <c r="E127" s="13">
        <f t="shared" ref="E127" si="29">H127</f>
        <v>151337.21289946008</v>
      </c>
      <c r="F127" s="12"/>
      <c r="G127" s="12"/>
      <c r="H127" s="30">
        <f t="shared" ref="H127" si="30">N127/M127</f>
        <v>151337.21289946008</v>
      </c>
      <c r="I127" s="34">
        <f t="shared" ref="I127" si="31">SUM(H115:H127)*M127</f>
        <v>27397054.627170585</v>
      </c>
      <c r="J127" s="14">
        <f t="shared" ref="J127" si="32">H127/E109</f>
        <v>0.89999999999999991</v>
      </c>
      <c r="K127" s="12"/>
      <c r="L127" s="12"/>
      <c r="M127" s="21">
        <v>28</v>
      </c>
      <c r="N127" s="20">
        <v>4237441.9611848826</v>
      </c>
    </row>
    <row r="128" spans="1:14" x14ac:dyDescent="0.3">
      <c r="A128" s="16">
        <v>2026</v>
      </c>
      <c r="B128" s="9">
        <v>3</v>
      </c>
      <c r="C128" s="9" t="s">
        <v>2</v>
      </c>
      <c r="D128" s="9" t="s">
        <v>23</v>
      </c>
      <c r="E128" s="8"/>
      <c r="F128" s="7"/>
      <c r="G128" s="7"/>
      <c r="H128" s="28"/>
      <c r="I128" s="33"/>
      <c r="J128" s="7"/>
      <c r="K128" s="7"/>
      <c r="L128" s="7"/>
      <c r="M128" s="9" t="s">
        <v>14</v>
      </c>
      <c r="N128" s="10" t="s">
        <v>15</v>
      </c>
    </row>
    <row r="129" spans="1:14" x14ac:dyDescent="0.3">
      <c r="A129" s="17">
        <v>2026</v>
      </c>
      <c r="B129" s="6">
        <v>3</v>
      </c>
      <c r="C129" s="6" t="s">
        <v>2</v>
      </c>
      <c r="D129" s="6" t="s">
        <v>24</v>
      </c>
      <c r="E129" s="2">
        <f t="shared" ref="E129:E131" si="33">E111*J129</f>
        <v>214272.65139355033</v>
      </c>
      <c r="J129" s="3">
        <f t="shared" ref="J129:J130" si="34">J130</f>
        <v>1.0000000000000002</v>
      </c>
      <c r="N129" s="11"/>
    </row>
    <row r="130" spans="1:14" x14ac:dyDescent="0.3">
      <c r="A130" s="17">
        <v>2026</v>
      </c>
      <c r="B130" s="6">
        <v>3</v>
      </c>
      <c r="C130" s="6" t="s">
        <v>2</v>
      </c>
      <c r="D130" s="6" t="s">
        <v>25</v>
      </c>
      <c r="E130" s="2">
        <f t="shared" si="33"/>
        <v>214272.65139355033</v>
      </c>
      <c r="J130" s="3">
        <f t="shared" si="34"/>
        <v>1.0000000000000002</v>
      </c>
      <c r="N130" s="11"/>
    </row>
    <row r="131" spans="1:14" x14ac:dyDescent="0.3">
      <c r="A131" s="17">
        <v>2026</v>
      </c>
      <c r="B131" s="6">
        <v>3</v>
      </c>
      <c r="C131" s="6" t="s">
        <v>2</v>
      </c>
      <c r="D131" s="6" t="s">
        <v>26</v>
      </c>
      <c r="E131" s="2">
        <f t="shared" si="33"/>
        <v>128650.22617831612</v>
      </c>
      <c r="J131" s="3">
        <f t="shared" ref="J131" si="35">J133</f>
        <v>1.0000000000000002</v>
      </c>
      <c r="N131" s="11"/>
    </row>
    <row r="132" spans="1:14" x14ac:dyDescent="0.3">
      <c r="A132" s="17">
        <v>2026</v>
      </c>
      <c r="B132" s="6">
        <v>3</v>
      </c>
      <c r="C132" s="6" t="s">
        <v>2</v>
      </c>
      <c r="D132" s="6" t="s">
        <v>27</v>
      </c>
      <c r="E132" s="4"/>
      <c r="J132" s="5"/>
      <c r="N132" s="11"/>
    </row>
    <row r="133" spans="1:14" x14ac:dyDescent="0.3">
      <c r="A133" s="17">
        <v>2026</v>
      </c>
      <c r="B133" s="6">
        <v>3</v>
      </c>
      <c r="C133" s="6" t="s">
        <v>2</v>
      </c>
      <c r="D133" s="6" t="s">
        <v>28</v>
      </c>
      <c r="E133" s="2">
        <f t="shared" ref="E133" si="36">H133</f>
        <v>122573.3547351525</v>
      </c>
      <c r="H133" s="29">
        <f t="shared" ref="H133" si="37">N133/M133</f>
        <v>122573.3547351525</v>
      </c>
      <c r="J133" s="3">
        <f t="shared" ref="J133" si="38">H133/E115</f>
        <v>1.0000000000000002</v>
      </c>
      <c r="M133" s="31">
        <v>31</v>
      </c>
      <c r="N133" s="20">
        <v>3799773.9967897278</v>
      </c>
    </row>
    <row r="134" spans="1:14" x14ac:dyDescent="0.3">
      <c r="A134" s="17">
        <v>2026</v>
      </c>
      <c r="B134" s="6">
        <v>3</v>
      </c>
      <c r="C134" s="6" t="s">
        <v>4</v>
      </c>
      <c r="D134" s="6" t="s">
        <v>23</v>
      </c>
      <c r="E134" s="2"/>
      <c r="J134" s="5"/>
      <c r="N134" s="11"/>
    </row>
    <row r="135" spans="1:14" x14ac:dyDescent="0.3">
      <c r="A135" s="17">
        <v>2026</v>
      </c>
      <c r="B135" s="6">
        <v>3</v>
      </c>
      <c r="C135" s="6" t="s">
        <v>4</v>
      </c>
      <c r="D135" s="6" t="s">
        <v>24</v>
      </c>
      <c r="E135" s="2">
        <f t="shared" ref="E135:E137" si="39">E117*J135</f>
        <v>857916.4133664089</v>
      </c>
      <c r="J135" s="3">
        <f t="shared" ref="J135:J136" si="40">J136</f>
        <v>1</v>
      </c>
      <c r="N135" s="11"/>
    </row>
    <row r="136" spans="1:14" x14ac:dyDescent="0.3">
      <c r="A136" s="17">
        <v>2026</v>
      </c>
      <c r="B136" s="6">
        <v>3</v>
      </c>
      <c r="C136" s="6" t="s">
        <v>4</v>
      </c>
      <c r="D136" s="6" t="s">
        <v>25</v>
      </c>
      <c r="E136" s="2">
        <f t="shared" si="39"/>
        <v>857916.4133664089</v>
      </c>
      <c r="J136" s="3">
        <f t="shared" si="40"/>
        <v>1</v>
      </c>
      <c r="N136" s="11"/>
    </row>
    <row r="137" spans="1:14" x14ac:dyDescent="0.3">
      <c r="A137" s="17">
        <v>2026</v>
      </c>
      <c r="B137" s="6">
        <v>3</v>
      </c>
      <c r="C137" s="6" t="s">
        <v>4</v>
      </c>
      <c r="D137" s="6" t="s">
        <v>26</v>
      </c>
      <c r="E137" s="2">
        <f t="shared" si="39"/>
        <v>751959.88925531402</v>
      </c>
      <c r="J137" s="3">
        <f t="shared" ref="J137" si="41">J139</f>
        <v>1</v>
      </c>
      <c r="N137" s="11"/>
    </row>
    <row r="138" spans="1:14" x14ac:dyDescent="0.3">
      <c r="A138" s="17">
        <v>2026</v>
      </c>
      <c r="B138" s="6">
        <v>3</v>
      </c>
      <c r="C138" s="6" t="s">
        <v>4</v>
      </c>
      <c r="D138" s="6" t="s">
        <v>27</v>
      </c>
      <c r="E138" s="4"/>
      <c r="J138" s="5"/>
      <c r="N138" s="11"/>
    </row>
    <row r="139" spans="1:14" x14ac:dyDescent="0.3">
      <c r="A139" s="17">
        <v>2026</v>
      </c>
      <c r="B139" s="6">
        <v>3</v>
      </c>
      <c r="C139" s="6" t="s">
        <v>4</v>
      </c>
      <c r="D139" s="6" t="s">
        <v>28</v>
      </c>
      <c r="E139" s="2">
        <f t="shared" ref="E139" si="42">H139</f>
        <v>704555.66905005113</v>
      </c>
      <c r="H139" s="29">
        <f t="shared" ref="H139" si="43">N139/M139</f>
        <v>704555.66905005113</v>
      </c>
      <c r="J139" s="3">
        <f t="shared" ref="J139" si="44">H139/E121</f>
        <v>1</v>
      </c>
      <c r="M139" s="19">
        <v>31</v>
      </c>
      <c r="N139" s="20">
        <v>21841225.740551583</v>
      </c>
    </row>
    <row r="140" spans="1:14" x14ac:dyDescent="0.3">
      <c r="A140" s="17">
        <v>2026</v>
      </c>
      <c r="B140" s="6">
        <v>3</v>
      </c>
      <c r="C140" s="6" t="s">
        <v>9</v>
      </c>
      <c r="D140" s="6" t="s">
        <v>23</v>
      </c>
      <c r="E140" s="4"/>
      <c r="J140" s="5"/>
      <c r="N140" s="11"/>
    </row>
    <row r="141" spans="1:14" x14ac:dyDescent="0.3">
      <c r="A141" s="17">
        <v>2026</v>
      </c>
      <c r="B141" s="6">
        <v>3</v>
      </c>
      <c r="C141" s="6" t="s">
        <v>9</v>
      </c>
      <c r="D141" s="6" t="s">
        <v>24</v>
      </c>
      <c r="E141" s="2">
        <f t="shared" ref="E141:E143" si="45">E123*J141</f>
        <v>276481.49514876126</v>
      </c>
      <c r="J141" s="3">
        <f t="shared" ref="J141:J142" si="46">J142</f>
        <v>1</v>
      </c>
      <c r="N141" s="11"/>
    </row>
    <row r="142" spans="1:14" x14ac:dyDescent="0.3">
      <c r="A142" s="17">
        <v>2026</v>
      </c>
      <c r="B142" s="6">
        <v>3</v>
      </c>
      <c r="C142" s="6" t="s">
        <v>9</v>
      </c>
      <c r="D142" s="6" t="s">
        <v>25</v>
      </c>
      <c r="E142" s="2">
        <f t="shared" si="45"/>
        <v>276481.49514876126</v>
      </c>
      <c r="J142" s="3">
        <f t="shared" si="46"/>
        <v>1</v>
      </c>
      <c r="N142" s="11"/>
    </row>
    <row r="143" spans="1:14" x14ac:dyDescent="0.3">
      <c r="A143" s="17">
        <v>2026</v>
      </c>
      <c r="B143" s="6">
        <v>3</v>
      </c>
      <c r="C143" s="6" t="s">
        <v>9</v>
      </c>
      <c r="D143" s="6" t="s">
        <v>26</v>
      </c>
      <c r="E143" s="2">
        <f t="shared" si="45"/>
        <v>175567.12527845186</v>
      </c>
      <c r="I143" s="35">
        <f t="shared" ref="I143" si="47">SUM(H133:H145)</f>
        <v>978466.2366846638</v>
      </c>
      <c r="J143" s="3">
        <f t="shared" ref="J143" si="48">J145</f>
        <v>1</v>
      </c>
      <c r="N143" s="11"/>
    </row>
    <row r="144" spans="1:14" x14ac:dyDescent="0.3">
      <c r="A144" s="17">
        <v>2026</v>
      </c>
      <c r="B144" s="6">
        <v>3</v>
      </c>
      <c r="C144" s="6" t="s">
        <v>9</v>
      </c>
      <c r="D144" s="6" t="s">
        <v>27</v>
      </c>
      <c r="E144" s="4"/>
      <c r="J144" s="5"/>
      <c r="N144" s="11"/>
    </row>
    <row r="145" spans="1:14" ht="17.25" thickBot="1" x14ac:dyDescent="0.35">
      <c r="A145" s="18">
        <v>2026</v>
      </c>
      <c r="B145" s="15">
        <v>3</v>
      </c>
      <c r="C145" s="15" t="s">
        <v>9</v>
      </c>
      <c r="D145" s="15" t="s">
        <v>28</v>
      </c>
      <c r="E145" s="13">
        <f t="shared" ref="E145" si="49">H145</f>
        <v>151337.21289946008</v>
      </c>
      <c r="F145" s="12"/>
      <c r="G145" s="12"/>
      <c r="H145" s="30">
        <f t="shared" ref="H145" si="50">N145/M145</f>
        <v>151337.21289946008</v>
      </c>
      <c r="I145" s="34">
        <f t="shared" ref="I145" si="51">SUM(H133:H145)*M145</f>
        <v>30332453.337224577</v>
      </c>
      <c r="J145" s="14">
        <f t="shared" ref="J145" si="52">H145/E127</f>
        <v>1</v>
      </c>
      <c r="K145" s="12"/>
      <c r="L145" s="12"/>
      <c r="M145" s="21">
        <v>31</v>
      </c>
      <c r="N145" s="20">
        <v>4691453.5998832621</v>
      </c>
    </row>
    <row r="146" spans="1:14" x14ac:dyDescent="0.3">
      <c r="A146" s="16">
        <v>2026</v>
      </c>
      <c r="B146" s="9">
        <v>4</v>
      </c>
      <c r="C146" s="9" t="s">
        <v>2</v>
      </c>
      <c r="D146" s="9" t="s">
        <v>23</v>
      </c>
      <c r="E146" s="8"/>
      <c r="F146" s="7"/>
      <c r="G146" s="7"/>
      <c r="H146" s="28"/>
      <c r="I146" s="33"/>
      <c r="J146" s="7"/>
      <c r="K146" s="7"/>
      <c r="L146" s="7"/>
      <c r="M146" s="9" t="s">
        <v>14</v>
      </c>
      <c r="N146" s="10" t="s">
        <v>15</v>
      </c>
    </row>
    <row r="147" spans="1:14" x14ac:dyDescent="0.3">
      <c r="A147" s="17">
        <v>2026</v>
      </c>
      <c r="B147" s="6">
        <v>4</v>
      </c>
      <c r="C147" s="6" t="s">
        <v>2</v>
      </c>
      <c r="D147" s="6" t="s">
        <v>24</v>
      </c>
      <c r="E147" s="2">
        <f t="shared" ref="E147:E149" si="53">E129*J147</f>
        <v>222661.07249892969</v>
      </c>
      <c r="J147" s="3">
        <f t="shared" ref="J147:J148" si="54">J148</f>
        <v>1.0391483516483515</v>
      </c>
      <c r="N147" s="11"/>
    </row>
    <row r="148" spans="1:14" x14ac:dyDescent="0.3">
      <c r="A148" s="17">
        <v>2026</v>
      </c>
      <c r="B148" s="6">
        <v>4</v>
      </c>
      <c r="C148" s="6" t="s">
        <v>2</v>
      </c>
      <c r="D148" s="6" t="s">
        <v>25</v>
      </c>
      <c r="E148" s="2">
        <f t="shared" si="53"/>
        <v>222661.07249892969</v>
      </c>
      <c r="J148" s="3">
        <f t="shared" si="54"/>
        <v>1.0391483516483515</v>
      </c>
      <c r="N148" s="11"/>
    </row>
    <row r="149" spans="1:14" x14ac:dyDescent="0.3">
      <c r="A149" s="17">
        <v>2026</v>
      </c>
      <c r="B149" s="6">
        <v>4</v>
      </c>
      <c r="C149" s="6" t="s">
        <v>2</v>
      </c>
      <c r="D149" s="6" t="s">
        <v>26</v>
      </c>
      <c r="E149" s="2">
        <f t="shared" si="53"/>
        <v>133686.67047238481</v>
      </c>
      <c r="J149" s="3">
        <f t="shared" ref="J149" si="55">J151</f>
        <v>1.0391483516483515</v>
      </c>
      <c r="N149" s="11"/>
    </row>
    <row r="150" spans="1:14" x14ac:dyDescent="0.3">
      <c r="A150" s="17">
        <v>2026</v>
      </c>
      <c r="B150" s="6">
        <v>4</v>
      </c>
      <c r="C150" s="6" t="s">
        <v>2</v>
      </c>
      <c r="D150" s="6" t="s">
        <v>27</v>
      </c>
      <c r="E150" s="4"/>
      <c r="J150" s="5"/>
      <c r="N150" s="11"/>
    </row>
    <row r="151" spans="1:14" x14ac:dyDescent="0.3">
      <c r="A151" s="17">
        <v>2026</v>
      </c>
      <c r="B151" s="6">
        <v>4</v>
      </c>
      <c r="C151" s="6" t="s">
        <v>2</v>
      </c>
      <c r="D151" s="6" t="s">
        <v>28</v>
      </c>
      <c r="E151" s="2">
        <f t="shared" ref="E151" si="56">H151</f>
        <v>127371.89952904238</v>
      </c>
      <c r="H151" s="29">
        <f t="shared" ref="H151" si="57">N151/M151</f>
        <v>127371.89952904238</v>
      </c>
      <c r="J151" s="3">
        <f t="shared" ref="J151" si="58">H151/E133</f>
        <v>1.0391483516483515</v>
      </c>
      <c r="M151" s="31">
        <v>30</v>
      </c>
      <c r="N151" s="20">
        <v>3821156.9858712712</v>
      </c>
    </row>
    <row r="152" spans="1:14" x14ac:dyDescent="0.3">
      <c r="A152" s="17">
        <v>2026</v>
      </c>
      <c r="B152" s="6">
        <v>4</v>
      </c>
      <c r="C152" s="6" t="s">
        <v>4</v>
      </c>
      <c r="D152" s="6" t="s">
        <v>23</v>
      </c>
      <c r="E152" s="2"/>
      <c r="J152" s="5"/>
      <c r="N152" s="11"/>
    </row>
    <row r="153" spans="1:14" x14ac:dyDescent="0.3">
      <c r="A153" s="17">
        <v>2026</v>
      </c>
      <c r="B153" s="6">
        <v>4</v>
      </c>
      <c r="C153" s="6" t="s">
        <v>4</v>
      </c>
      <c r="D153" s="6" t="s">
        <v>24</v>
      </c>
      <c r="E153" s="2">
        <f t="shared" ref="E153:E155" si="59">E135*J153</f>
        <v>891502.42680176976</v>
      </c>
      <c r="J153" s="3">
        <f t="shared" ref="J153:J154" si="60">J154</f>
        <v>1.0391483516483517</v>
      </c>
      <c r="N153" s="11"/>
    </row>
    <row r="154" spans="1:14" x14ac:dyDescent="0.3">
      <c r="A154" s="17">
        <v>2026</v>
      </c>
      <c r="B154" s="6">
        <v>4</v>
      </c>
      <c r="C154" s="6" t="s">
        <v>4</v>
      </c>
      <c r="D154" s="6" t="s">
        <v>25</v>
      </c>
      <c r="E154" s="2">
        <f t="shared" si="59"/>
        <v>891502.42680176976</v>
      </c>
      <c r="J154" s="3">
        <f t="shared" si="60"/>
        <v>1.0391483516483517</v>
      </c>
      <c r="N154" s="11"/>
    </row>
    <row r="155" spans="1:14" x14ac:dyDescent="0.3">
      <c r="A155" s="17">
        <v>2026</v>
      </c>
      <c r="B155" s="6">
        <v>4</v>
      </c>
      <c r="C155" s="6" t="s">
        <v>4</v>
      </c>
      <c r="D155" s="6" t="s">
        <v>26</v>
      </c>
      <c r="E155" s="2">
        <f t="shared" si="59"/>
        <v>781397.87942533672</v>
      </c>
      <c r="J155" s="3">
        <f t="shared" ref="J155" si="61">J157</f>
        <v>1.0391483516483517</v>
      </c>
      <c r="N155" s="11"/>
    </row>
    <row r="156" spans="1:14" x14ac:dyDescent="0.3">
      <c r="A156" s="17">
        <v>2026</v>
      </c>
      <c r="B156" s="6">
        <v>4</v>
      </c>
      <c r="C156" s="6" t="s">
        <v>4</v>
      </c>
      <c r="D156" s="6" t="s">
        <v>27</v>
      </c>
      <c r="E156" s="4"/>
      <c r="J156" s="5"/>
      <c r="N156" s="11"/>
    </row>
    <row r="157" spans="1:14" x14ac:dyDescent="0.3">
      <c r="A157" s="17">
        <v>2026</v>
      </c>
      <c r="B157" s="6">
        <v>4</v>
      </c>
      <c r="C157" s="6" t="s">
        <v>4</v>
      </c>
      <c r="D157" s="6" t="s">
        <v>28</v>
      </c>
      <c r="E157" s="2">
        <f t="shared" ref="E157" si="62">H157</f>
        <v>732137.86213786225</v>
      </c>
      <c r="H157" s="29">
        <f t="shared" ref="H157" si="63">N157/M157</f>
        <v>732137.86213786225</v>
      </c>
      <c r="J157" s="3">
        <f t="shared" ref="J157" si="64">H157/E139</f>
        <v>1.0391483516483517</v>
      </c>
      <c r="M157" s="19">
        <v>30</v>
      </c>
      <c r="N157" s="20">
        <v>21964135.864135869</v>
      </c>
    </row>
    <row r="158" spans="1:14" x14ac:dyDescent="0.3">
      <c r="A158" s="17">
        <v>2026</v>
      </c>
      <c r="B158" s="6">
        <v>4</v>
      </c>
      <c r="C158" s="6" t="s">
        <v>9</v>
      </c>
      <c r="D158" s="6" t="s">
        <v>23</v>
      </c>
      <c r="E158" s="4"/>
      <c r="J158" s="5"/>
      <c r="N158" s="11"/>
    </row>
    <row r="159" spans="1:14" x14ac:dyDescent="0.3">
      <c r="A159" s="17">
        <v>2026</v>
      </c>
      <c r="B159" s="6">
        <v>4</v>
      </c>
      <c r="C159" s="6" t="s">
        <v>9</v>
      </c>
      <c r="D159" s="6" t="s">
        <v>24</v>
      </c>
      <c r="E159" s="2">
        <f t="shared" ref="E159:E161" si="65">E141*J159</f>
        <v>287305.28994510695</v>
      </c>
      <c r="J159" s="3">
        <f t="shared" ref="J159:J160" si="66">J160</f>
        <v>1.0391483516483515</v>
      </c>
      <c r="N159" s="11"/>
    </row>
    <row r="160" spans="1:14" x14ac:dyDescent="0.3">
      <c r="A160" s="17">
        <v>2026</v>
      </c>
      <c r="B160" s="6">
        <v>4</v>
      </c>
      <c r="C160" s="6" t="s">
        <v>9</v>
      </c>
      <c r="D160" s="6" t="s">
        <v>25</v>
      </c>
      <c r="E160" s="2">
        <f t="shared" si="65"/>
        <v>287305.28994510695</v>
      </c>
      <c r="J160" s="3">
        <f t="shared" si="66"/>
        <v>1.0391483516483515</v>
      </c>
      <c r="N160" s="11"/>
    </row>
    <row r="161" spans="1:14" x14ac:dyDescent="0.3">
      <c r="A161" s="17">
        <v>2026</v>
      </c>
      <c r="B161" s="6">
        <v>4</v>
      </c>
      <c r="C161" s="6" t="s">
        <v>9</v>
      </c>
      <c r="D161" s="6" t="s">
        <v>26</v>
      </c>
      <c r="E161" s="2">
        <f t="shared" si="65"/>
        <v>182440.28883674287</v>
      </c>
      <c r="I161" s="35">
        <f t="shared" ref="I161" si="67">SUM(H151:H163)</f>
        <v>1016771.5769944342</v>
      </c>
      <c r="J161" s="3">
        <f t="shared" ref="J161" si="68">J163</f>
        <v>1.0391483516483515</v>
      </c>
      <c r="N161" s="11"/>
    </row>
    <row r="162" spans="1:14" x14ac:dyDescent="0.3">
      <c r="A162" s="17">
        <v>2026</v>
      </c>
      <c r="B162" s="6">
        <v>4</v>
      </c>
      <c r="C162" s="6" t="s">
        <v>9</v>
      </c>
      <c r="D162" s="6" t="s">
        <v>27</v>
      </c>
      <c r="E162" s="4"/>
      <c r="J162" s="5"/>
      <c r="N162" s="11"/>
    </row>
    <row r="163" spans="1:14" ht="17.25" thickBot="1" x14ac:dyDescent="0.35">
      <c r="A163" s="18">
        <v>2026</v>
      </c>
      <c r="B163" s="15">
        <v>4</v>
      </c>
      <c r="C163" s="15" t="s">
        <v>9</v>
      </c>
      <c r="D163" s="15" t="s">
        <v>28</v>
      </c>
      <c r="E163" s="13">
        <f t="shared" ref="E163" si="69">H163</f>
        <v>157261.81532752959</v>
      </c>
      <c r="F163" s="12"/>
      <c r="G163" s="12"/>
      <c r="H163" s="30">
        <f t="shared" ref="H163" si="70">N163/M163</f>
        <v>157261.81532752959</v>
      </c>
      <c r="I163" s="34">
        <f t="shared" ref="I163" si="71">SUM(H151:H163)*M163</f>
        <v>30503147.309833027</v>
      </c>
      <c r="J163" s="14">
        <f t="shared" ref="J163" si="72">H163/E145</f>
        <v>1.0391483516483515</v>
      </c>
      <c r="K163" s="12"/>
      <c r="L163" s="12"/>
      <c r="M163" s="21">
        <v>30</v>
      </c>
      <c r="N163" s="20">
        <v>4717854.4598258873</v>
      </c>
    </row>
    <row r="164" spans="1:14" x14ac:dyDescent="0.3">
      <c r="A164" s="16">
        <v>2026</v>
      </c>
      <c r="B164" s="9">
        <v>5</v>
      </c>
      <c r="C164" s="9" t="s">
        <v>2</v>
      </c>
      <c r="D164" s="9" t="s">
        <v>23</v>
      </c>
      <c r="E164" s="8"/>
      <c r="F164" s="7"/>
      <c r="G164" s="7"/>
      <c r="H164" s="28"/>
      <c r="I164" s="33"/>
      <c r="J164" s="7"/>
      <c r="K164" s="7"/>
      <c r="L164" s="7"/>
      <c r="M164" s="9" t="s">
        <v>14</v>
      </c>
      <c r="N164" s="10" t="s">
        <v>15</v>
      </c>
    </row>
    <row r="165" spans="1:14" x14ac:dyDescent="0.3">
      <c r="A165" s="17">
        <v>2026</v>
      </c>
      <c r="B165" s="6">
        <v>5</v>
      </c>
      <c r="C165" s="6" t="s">
        <v>2</v>
      </c>
      <c r="D165" s="6" t="s">
        <v>24</v>
      </c>
      <c r="E165" s="2">
        <f t="shared" ref="E165:E167" si="73">E147*J165</f>
        <v>222661.07249892969</v>
      </c>
      <c r="J165" s="3">
        <f t="shared" ref="J165:J166" si="74">J166</f>
        <v>1</v>
      </c>
      <c r="N165" s="11"/>
    </row>
    <row r="166" spans="1:14" x14ac:dyDescent="0.3">
      <c r="A166" s="17">
        <v>2026</v>
      </c>
      <c r="B166" s="6">
        <v>5</v>
      </c>
      <c r="C166" s="6" t="s">
        <v>2</v>
      </c>
      <c r="D166" s="6" t="s">
        <v>25</v>
      </c>
      <c r="E166" s="2">
        <f t="shared" si="73"/>
        <v>222661.07249892969</v>
      </c>
      <c r="J166" s="3">
        <f t="shared" si="74"/>
        <v>1</v>
      </c>
      <c r="N166" s="11"/>
    </row>
    <row r="167" spans="1:14" x14ac:dyDescent="0.3">
      <c r="A167" s="17">
        <v>2026</v>
      </c>
      <c r="B167" s="6">
        <v>5</v>
      </c>
      <c r="C167" s="6" t="s">
        <v>2</v>
      </c>
      <c r="D167" s="6" t="s">
        <v>26</v>
      </c>
      <c r="E167" s="2">
        <f t="shared" si="73"/>
        <v>133686.67047238481</v>
      </c>
      <c r="J167" s="3">
        <f t="shared" ref="J167" si="75">J169</f>
        <v>1</v>
      </c>
      <c r="N167" s="11"/>
    </row>
    <row r="168" spans="1:14" x14ac:dyDescent="0.3">
      <c r="A168" s="17">
        <v>2026</v>
      </c>
      <c r="B168" s="6">
        <v>5</v>
      </c>
      <c r="C168" s="6" t="s">
        <v>2</v>
      </c>
      <c r="D168" s="6" t="s">
        <v>27</v>
      </c>
      <c r="E168" s="4"/>
      <c r="J168" s="5"/>
      <c r="N168" s="11"/>
    </row>
    <row r="169" spans="1:14" x14ac:dyDescent="0.3">
      <c r="A169" s="17">
        <v>2026</v>
      </c>
      <c r="B169" s="6">
        <v>5</v>
      </c>
      <c r="C169" s="6" t="s">
        <v>2</v>
      </c>
      <c r="D169" s="6" t="s">
        <v>28</v>
      </c>
      <c r="E169" s="2">
        <f t="shared" ref="E169" si="76">H169</f>
        <v>127371.89952904238</v>
      </c>
      <c r="H169" s="29">
        <f t="shared" ref="H169" si="77">N169/M169</f>
        <v>127371.89952904238</v>
      </c>
      <c r="J169" s="3">
        <f t="shared" ref="J169" si="78">H169/E151</f>
        <v>1</v>
      </c>
      <c r="M169" s="31">
        <v>31</v>
      </c>
      <c r="N169" s="20">
        <v>3948528.8854003139</v>
      </c>
    </row>
    <row r="170" spans="1:14" x14ac:dyDescent="0.3">
      <c r="A170" s="17">
        <v>2026</v>
      </c>
      <c r="B170" s="6">
        <v>5</v>
      </c>
      <c r="C170" s="6" t="s">
        <v>4</v>
      </c>
      <c r="D170" s="6" t="s">
        <v>23</v>
      </c>
      <c r="E170" s="2"/>
      <c r="J170" s="5"/>
      <c r="N170" s="11"/>
    </row>
    <row r="171" spans="1:14" x14ac:dyDescent="0.3">
      <c r="A171" s="17">
        <v>2026</v>
      </c>
      <c r="B171" s="6">
        <v>5</v>
      </c>
      <c r="C171" s="6" t="s">
        <v>4</v>
      </c>
      <c r="D171" s="6" t="s">
        <v>24</v>
      </c>
      <c r="E171" s="2">
        <f t="shared" ref="E171:E173" si="79">E153*J171</f>
        <v>891502.42680176976</v>
      </c>
      <c r="J171" s="3">
        <f t="shared" ref="J171:J172" si="80">J172</f>
        <v>1</v>
      </c>
      <c r="N171" s="11"/>
    </row>
    <row r="172" spans="1:14" x14ac:dyDescent="0.3">
      <c r="A172" s="17">
        <v>2026</v>
      </c>
      <c r="B172" s="6">
        <v>5</v>
      </c>
      <c r="C172" s="6" t="s">
        <v>4</v>
      </c>
      <c r="D172" s="6" t="s">
        <v>25</v>
      </c>
      <c r="E172" s="2">
        <f t="shared" si="79"/>
        <v>891502.42680176976</v>
      </c>
      <c r="J172" s="3">
        <f t="shared" si="80"/>
        <v>1</v>
      </c>
      <c r="N172" s="11"/>
    </row>
    <row r="173" spans="1:14" x14ac:dyDescent="0.3">
      <c r="A173" s="17">
        <v>2026</v>
      </c>
      <c r="B173" s="6">
        <v>5</v>
      </c>
      <c r="C173" s="6" t="s">
        <v>4</v>
      </c>
      <c r="D173" s="6" t="s">
        <v>26</v>
      </c>
      <c r="E173" s="2">
        <f t="shared" si="79"/>
        <v>781397.87942533672</v>
      </c>
      <c r="J173" s="3">
        <f t="shared" ref="J173" si="81">J175</f>
        <v>1</v>
      </c>
      <c r="N173" s="11"/>
    </row>
    <row r="174" spans="1:14" x14ac:dyDescent="0.3">
      <c r="A174" s="17">
        <v>2026</v>
      </c>
      <c r="B174" s="6">
        <v>5</v>
      </c>
      <c r="C174" s="6" t="s">
        <v>4</v>
      </c>
      <c r="D174" s="6" t="s">
        <v>27</v>
      </c>
      <c r="E174" s="4"/>
      <c r="J174" s="5"/>
      <c r="N174" s="11"/>
    </row>
    <row r="175" spans="1:14" x14ac:dyDescent="0.3">
      <c r="A175" s="17">
        <v>2026</v>
      </c>
      <c r="B175" s="6">
        <v>5</v>
      </c>
      <c r="C175" s="6" t="s">
        <v>4</v>
      </c>
      <c r="D175" s="6" t="s">
        <v>28</v>
      </c>
      <c r="E175" s="2">
        <f t="shared" ref="E175" si="82">H175</f>
        <v>732137.86213786225</v>
      </c>
      <c r="H175" s="29">
        <f t="shared" ref="H175" si="83">N175/M175</f>
        <v>732137.86213786225</v>
      </c>
      <c r="J175" s="3">
        <f t="shared" ref="J175" si="84">H175/E157</f>
        <v>1</v>
      </c>
      <c r="M175" s="19">
        <v>31</v>
      </c>
      <c r="N175" s="20">
        <v>22696273.72627373</v>
      </c>
    </row>
    <row r="176" spans="1:14" x14ac:dyDescent="0.3">
      <c r="A176" s="17">
        <v>2026</v>
      </c>
      <c r="B176" s="6">
        <v>5</v>
      </c>
      <c r="C176" s="6" t="s">
        <v>9</v>
      </c>
      <c r="D176" s="6" t="s">
        <v>23</v>
      </c>
      <c r="E176" s="4"/>
      <c r="J176" s="5"/>
      <c r="N176" s="11"/>
    </row>
    <row r="177" spans="1:14" x14ac:dyDescent="0.3">
      <c r="A177" s="17">
        <v>2026</v>
      </c>
      <c r="B177" s="6">
        <v>5</v>
      </c>
      <c r="C177" s="6" t="s">
        <v>9</v>
      </c>
      <c r="D177" s="6" t="s">
        <v>24</v>
      </c>
      <c r="E177" s="2">
        <f t="shared" ref="E177:E179" si="85">E159*J177</f>
        <v>287305.28994510695</v>
      </c>
      <c r="J177" s="3">
        <f t="shared" ref="J177:J178" si="86">J178</f>
        <v>1</v>
      </c>
      <c r="N177" s="11"/>
    </row>
    <row r="178" spans="1:14" x14ac:dyDescent="0.3">
      <c r="A178" s="17">
        <v>2026</v>
      </c>
      <c r="B178" s="6">
        <v>5</v>
      </c>
      <c r="C178" s="6" t="s">
        <v>9</v>
      </c>
      <c r="D178" s="6" t="s">
        <v>25</v>
      </c>
      <c r="E178" s="2">
        <f t="shared" si="85"/>
        <v>287305.28994510695</v>
      </c>
      <c r="J178" s="3">
        <f t="shared" si="86"/>
        <v>1</v>
      </c>
      <c r="N178" s="11"/>
    </row>
    <row r="179" spans="1:14" x14ac:dyDescent="0.3">
      <c r="A179" s="17">
        <v>2026</v>
      </c>
      <c r="B179" s="6">
        <v>5</v>
      </c>
      <c r="C179" s="6" t="s">
        <v>9</v>
      </c>
      <c r="D179" s="6" t="s">
        <v>26</v>
      </c>
      <c r="E179" s="2">
        <f t="shared" si="85"/>
        <v>182440.28883674287</v>
      </c>
      <c r="I179" s="35">
        <f t="shared" ref="I179" si="87">SUM(H169:H181)</f>
        <v>1016771.5769944342</v>
      </c>
      <c r="J179" s="3">
        <f t="shared" ref="J179" si="88">J181</f>
        <v>1</v>
      </c>
      <c r="N179" s="11"/>
    </row>
    <row r="180" spans="1:14" x14ac:dyDescent="0.3">
      <c r="A180" s="17">
        <v>2026</v>
      </c>
      <c r="B180" s="6">
        <v>5</v>
      </c>
      <c r="C180" s="6" t="s">
        <v>9</v>
      </c>
      <c r="D180" s="6" t="s">
        <v>27</v>
      </c>
      <c r="E180" s="4"/>
      <c r="J180" s="5"/>
      <c r="N180" s="11"/>
    </row>
    <row r="181" spans="1:14" ht="17.25" thickBot="1" x14ac:dyDescent="0.35">
      <c r="A181" s="18">
        <v>2026</v>
      </c>
      <c r="B181" s="15">
        <v>5</v>
      </c>
      <c r="C181" s="15" t="s">
        <v>9</v>
      </c>
      <c r="D181" s="15" t="s">
        <v>28</v>
      </c>
      <c r="E181" s="13">
        <f t="shared" ref="E181" si="89">H181</f>
        <v>157261.81532752959</v>
      </c>
      <c r="F181" s="12"/>
      <c r="G181" s="12"/>
      <c r="H181" s="30">
        <f t="shared" ref="H181" si="90">N181/M181</f>
        <v>157261.81532752959</v>
      </c>
      <c r="I181" s="34">
        <f t="shared" ref="I181" si="91">SUM(H169:H181)*M181</f>
        <v>31519918.886827461</v>
      </c>
      <c r="J181" s="14">
        <f t="shared" ref="J181" si="92">H181/E163</f>
        <v>1</v>
      </c>
      <c r="K181" s="12"/>
      <c r="L181" s="12"/>
      <c r="M181" s="21">
        <v>31</v>
      </c>
      <c r="N181" s="20">
        <v>4875116.2751534171</v>
      </c>
    </row>
    <row r="182" spans="1:14" x14ac:dyDescent="0.3">
      <c r="A182" s="16">
        <v>2026</v>
      </c>
      <c r="B182" s="9">
        <v>6</v>
      </c>
      <c r="C182" s="9" t="s">
        <v>2</v>
      </c>
      <c r="D182" s="9" t="s">
        <v>23</v>
      </c>
      <c r="E182" s="8"/>
      <c r="F182" s="7"/>
      <c r="G182" s="7"/>
      <c r="H182" s="28"/>
      <c r="I182" s="33"/>
      <c r="J182" s="7"/>
      <c r="K182" s="7"/>
      <c r="L182" s="7"/>
      <c r="M182" s="9" t="s">
        <v>14</v>
      </c>
      <c r="N182" s="10" t="s">
        <v>15</v>
      </c>
    </row>
    <row r="183" spans="1:14" x14ac:dyDescent="0.3">
      <c r="A183" s="17">
        <v>2026</v>
      </c>
      <c r="B183" s="6">
        <v>6</v>
      </c>
      <c r="C183" s="6" t="s">
        <v>2</v>
      </c>
      <c r="D183" s="6" t="s">
        <v>24</v>
      </c>
      <c r="E183" s="2">
        <f t="shared" ref="E183:E185" si="93">E165*J183</f>
        <v>222661.07249892969</v>
      </c>
      <c r="J183" s="3">
        <f t="shared" ref="J183:J184" si="94">J184</f>
        <v>1</v>
      </c>
      <c r="N183" s="11"/>
    </row>
    <row r="184" spans="1:14" x14ac:dyDescent="0.3">
      <c r="A184" s="17">
        <v>2026</v>
      </c>
      <c r="B184" s="6">
        <v>6</v>
      </c>
      <c r="C184" s="6" t="s">
        <v>2</v>
      </c>
      <c r="D184" s="6" t="s">
        <v>25</v>
      </c>
      <c r="E184" s="2">
        <f t="shared" si="93"/>
        <v>222661.07249892969</v>
      </c>
      <c r="J184" s="3">
        <f t="shared" si="94"/>
        <v>1</v>
      </c>
      <c r="N184" s="11"/>
    </row>
    <row r="185" spans="1:14" x14ac:dyDescent="0.3">
      <c r="A185" s="17">
        <v>2026</v>
      </c>
      <c r="B185" s="6">
        <v>6</v>
      </c>
      <c r="C185" s="6" t="s">
        <v>2</v>
      </c>
      <c r="D185" s="6" t="s">
        <v>26</v>
      </c>
      <c r="E185" s="2">
        <f t="shared" si="93"/>
        <v>133686.67047238481</v>
      </c>
      <c r="J185" s="3">
        <f t="shared" ref="J185" si="95">J187</f>
        <v>1</v>
      </c>
      <c r="N185" s="11"/>
    </row>
    <row r="186" spans="1:14" x14ac:dyDescent="0.3">
      <c r="A186" s="17">
        <v>2026</v>
      </c>
      <c r="B186" s="6">
        <v>6</v>
      </c>
      <c r="C186" s="6" t="s">
        <v>2</v>
      </c>
      <c r="D186" s="6" t="s">
        <v>27</v>
      </c>
      <c r="E186" s="4"/>
      <c r="J186" s="5"/>
      <c r="N186" s="11"/>
    </row>
    <row r="187" spans="1:14" x14ac:dyDescent="0.3">
      <c r="A187" s="17">
        <v>2026</v>
      </c>
      <c r="B187" s="6">
        <v>6</v>
      </c>
      <c r="C187" s="6" t="s">
        <v>2</v>
      </c>
      <c r="D187" s="6" t="s">
        <v>28</v>
      </c>
      <c r="E187" s="2">
        <f t="shared" ref="E187" si="96">H187</f>
        <v>127371.89952904238</v>
      </c>
      <c r="H187" s="29">
        <f t="shared" ref="H187" si="97">N187/M187</f>
        <v>127371.89952904238</v>
      </c>
      <c r="J187" s="3">
        <f t="shared" ref="J187" si="98">H187/E169</f>
        <v>1</v>
      </c>
      <c r="M187" s="31">
        <v>30</v>
      </c>
      <c r="N187" s="20">
        <v>3821156.9858712712</v>
      </c>
    </row>
    <row r="188" spans="1:14" x14ac:dyDescent="0.3">
      <c r="A188" s="17">
        <v>2026</v>
      </c>
      <c r="B188" s="6">
        <v>6</v>
      </c>
      <c r="C188" s="6" t="s">
        <v>4</v>
      </c>
      <c r="D188" s="6" t="s">
        <v>23</v>
      </c>
      <c r="E188" s="2"/>
      <c r="J188" s="5"/>
      <c r="N188" s="11"/>
    </row>
    <row r="189" spans="1:14" x14ac:dyDescent="0.3">
      <c r="A189" s="17">
        <v>2026</v>
      </c>
      <c r="B189" s="6">
        <v>6</v>
      </c>
      <c r="C189" s="6" t="s">
        <v>4</v>
      </c>
      <c r="D189" s="6" t="s">
        <v>24</v>
      </c>
      <c r="E189" s="2">
        <f t="shared" ref="E189:E191" si="99">E171*J189</f>
        <v>891502.42680176976</v>
      </c>
      <c r="J189" s="3">
        <f t="shared" ref="J189:J190" si="100">J190</f>
        <v>1</v>
      </c>
      <c r="N189" s="11"/>
    </row>
    <row r="190" spans="1:14" x14ac:dyDescent="0.3">
      <c r="A190" s="17">
        <v>2026</v>
      </c>
      <c r="B190" s="6">
        <v>6</v>
      </c>
      <c r="C190" s="6" t="s">
        <v>4</v>
      </c>
      <c r="D190" s="6" t="s">
        <v>25</v>
      </c>
      <c r="E190" s="2">
        <f t="shared" si="99"/>
        <v>891502.42680176976</v>
      </c>
      <c r="J190" s="3">
        <f t="shared" si="100"/>
        <v>1</v>
      </c>
      <c r="N190" s="11"/>
    </row>
    <row r="191" spans="1:14" x14ac:dyDescent="0.3">
      <c r="A191" s="17">
        <v>2026</v>
      </c>
      <c r="B191" s="6">
        <v>6</v>
      </c>
      <c r="C191" s="6" t="s">
        <v>4</v>
      </c>
      <c r="D191" s="6" t="s">
        <v>26</v>
      </c>
      <c r="E191" s="2">
        <f t="shared" si="99"/>
        <v>781397.87942533672</v>
      </c>
      <c r="J191" s="3">
        <f t="shared" ref="J191" si="101">J193</f>
        <v>1</v>
      </c>
      <c r="N191" s="11"/>
    </row>
    <row r="192" spans="1:14" x14ac:dyDescent="0.3">
      <c r="A192" s="17">
        <v>2026</v>
      </c>
      <c r="B192" s="6">
        <v>6</v>
      </c>
      <c r="C192" s="6" t="s">
        <v>4</v>
      </c>
      <c r="D192" s="6" t="s">
        <v>27</v>
      </c>
      <c r="E192" s="4"/>
      <c r="J192" s="5"/>
      <c r="N192" s="11"/>
    </row>
    <row r="193" spans="1:14" x14ac:dyDescent="0.3">
      <c r="A193" s="17">
        <v>2026</v>
      </c>
      <c r="B193" s="6">
        <v>6</v>
      </c>
      <c r="C193" s="6" t="s">
        <v>4</v>
      </c>
      <c r="D193" s="6" t="s">
        <v>28</v>
      </c>
      <c r="E193" s="2">
        <f t="shared" ref="E193" si="102">H193</f>
        <v>732137.86213786225</v>
      </c>
      <c r="H193" s="29">
        <f t="shared" ref="H193" si="103">N193/M193</f>
        <v>732137.86213786225</v>
      </c>
      <c r="J193" s="3">
        <f t="shared" ref="J193" si="104">H193/E175</f>
        <v>1</v>
      </c>
      <c r="M193" s="19">
        <v>30</v>
      </c>
      <c r="N193" s="20">
        <v>21964135.864135869</v>
      </c>
    </row>
    <row r="194" spans="1:14" x14ac:dyDescent="0.3">
      <c r="A194" s="17">
        <v>2026</v>
      </c>
      <c r="B194" s="6">
        <v>6</v>
      </c>
      <c r="C194" s="6" t="s">
        <v>9</v>
      </c>
      <c r="D194" s="6" t="s">
        <v>23</v>
      </c>
      <c r="E194" s="4"/>
      <c r="J194" s="5"/>
      <c r="N194" s="11"/>
    </row>
    <row r="195" spans="1:14" x14ac:dyDescent="0.3">
      <c r="A195" s="17">
        <v>2026</v>
      </c>
      <c r="B195" s="6">
        <v>6</v>
      </c>
      <c r="C195" s="6" t="s">
        <v>9</v>
      </c>
      <c r="D195" s="6" t="s">
        <v>24</v>
      </c>
      <c r="E195" s="2">
        <f t="shared" ref="E195:E197" si="105">E177*J195</f>
        <v>287305.28994510695</v>
      </c>
      <c r="J195" s="3">
        <f t="shared" ref="J195:J196" si="106">J196</f>
        <v>1</v>
      </c>
      <c r="N195" s="11"/>
    </row>
    <row r="196" spans="1:14" x14ac:dyDescent="0.3">
      <c r="A196" s="17">
        <v>2026</v>
      </c>
      <c r="B196" s="6">
        <v>6</v>
      </c>
      <c r="C196" s="6" t="s">
        <v>9</v>
      </c>
      <c r="D196" s="6" t="s">
        <v>25</v>
      </c>
      <c r="E196" s="2">
        <f t="shared" si="105"/>
        <v>287305.28994510695</v>
      </c>
      <c r="J196" s="3">
        <f t="shared" si="106"/>
        <v>1</v>
      </c>
      <c r="N196" s="11"/>
    </row>
    <row r="197" spans="1:14" x14ac:dyDescent="0.3">
      <c r="A197" s="17">
        <v>2026</v>
      </c>
      <c r="B197" s="6">
        <v>6</v>
      </c>
      <c r="C197" s="6" t="s">
        <v>9</v>
      </c>
      <c r="D197" s="6" t="s">
        <v>26</v>
      </c>
      <c r="E197" s="2">
        <f t="shared" si="105"/>
        <v>182440.28883674287</v>
      </c>
      <c r="I197" s="35">
        <f t="shared" ref="I197" si="107">SUM(H187:H199)</f>
        <v>1016771.5769944342</v>
      </c>
      <c r="J197" s="3">
        <f t="shared" ref="J197" si="108">J199</f>
        <v>1</v>
      </c>
      <c r="N197" s="11"/>
    </row>
    <row r="198" spans="1:14" x14ac:dyDescent="0.3">
      <c r="A198" s="17">
        <v>2026</v>
      </c>
      <c r="B198" s="6">
        <v>6</v>
      </c>
      <c r="C198" s="6" t="s">
        <v>9</v>
      </c>
      <c r="D198" s="6" t="s">
        <v>27</v>
      </c>
      <c r="E198" s="4"/>
      <c r="J198" s="5"/>
      <c r="N198" s="11"/>
    </row>
    <row r="199" spans="1:14" ht="17.25" thickBot="1" x14ac:dyDescent="0.35">
      <c r="A199" s="18">
        <v>2026</v>
      </c>
      <c r="B199" s="15">
        <v>6</v>
      </c>
      <c r="C199" s="15" t="s">
        <v>9</v>
      </c>
      <c r="D199" s="15" t="s">
        <v>28</v>
      </c>
      <c r="E199" s="13">
        <f t="shared" ref="E199" si="109">H199</f>
        <v>157261.81532752959</v>
      </c>
      <c r="F199" s="12"/>
      <c r="G199" s="12"/>
      <c r="H199" s="30">
        <f t="shared" ref="H199" si="110">N199/M199</f>
        <v>157261.81532752959</v>
      </c>
      <c r="I199" s="34">
        <f t="shared" ref="I199" si="111">SUM(H187:H199)*M199</f>
        <v>30503147.309833027</v>
      </c>
      <c r="J199" s="14">
        <f t="shared" ref="J199" si="112">H199/E181</f>
        <v>1</v>
      </c>
      <c r="K199" s="12"/>
      <c r="L199" s="12"/>
      <c r="M199" s="21">
        <v>30</v>
      </c>
      <c r="N199" s="20">
        <v>4717854.4598258873</v>
      </c>
    </row>
    <row r="200" spans="1:14" x14ac:dyDescent="0.3">
      <c r="A200" s="16">
        <v>2026</v>
      </c>
      <c r="B200" s="9">
        <v>7</v>
      </c>
      <c r="C200" s="9" t="s">
        <v>2</v>
      </c>
      <c r="D200" s="9" t="s">
        <v>23</v>
      </c>
      <c r="E200" s="8"/>
      <c r="F200" s="7"/>
      <c r="G200" s="7"/>
      <c r="H200" s="28"/>
      <c r="I200" s="33"/>
      <c r="J200" s="7"/>
      <c r="K200" s="7"/>
      <c r="L200" s="7"/>
      <c r="M200" s="9" t="s">
        <v>14</v>
      </c>
      <c r="N200" s="10" t="s">
        <v>15</v>
      </c>
    </row>
    <row r="201" spans="1:14" x14ac:dyDescent="0.3">
      <c r="A201" s="17">
        <v>2026</v>
      </c>
      <c r="B201" s="6">
        <v>7</v>
      </c>
      <c r="C201" s="6" t="s">
        <v>2</v>
      </c>
      <c r="D201" s="6" t="s">
        <v>24</v>
      </c>
      <c r="E201" s="2">
        <f t="shared" ref="E201:E203" si="113">E183*J201</f>
        <v>238378.32467532478</v>
      </c>
      <c r="J201" s="3">
        <f t="shared" ref="J201:J202" si="114">J202</f>
        <v>1.0705882352941178</v>
      </c>
      <c r="N201" s="11"/>
    </row>
    <row r="202" spans="1:14" x14ac:dyDescent="0.3">
      <c r="A202" s="17">
        <v>2026</v>
      </c>
      <c r="B202" s="6">
        <v>7</v>
      </c>
      <c r="C202" s="6" t="s">
        <v>2</v>
      </c>
      <c r="D202" s="6" t="s">
        <v>25</v>
      </c>
      <c r="E202" s="2">
        <f t="shared" si="113"/>
        <v>238378.32467532478</v>
      </c>
      <c r="J202" s="3">
        <f t="shared" si="114"/>
        <v>1.0705882352941178</v>
      </c>
      <c r="N202" s="11"/>
    </row>
    <row r="203" spans="1:14" x14ac:dyDescent="0.3">
      <c r="A203" s="17">
        <v>2026</v>
      </c>
      <c r="B203" s="6">
        <v>7</v>
      </c>
      <c r="C203" s="6" t="s">
        <v>2</v>
      </c>
      <c r="D203" s="6" t="s">
        <v>26</v>
      </c>
      <c r="E203" s="2">
        <f t="shared" si="113"/>
        <v>143123.37662337671</v>
      </c>
      <c r="J203" s="3">
        <f t="shared" ref="J203" si="115">J205</f>
        <v>1.0705882352941178</v>
      </c>
      <c r="N203" s="11"/>
    </row>
    <row r="204" spans="1:14" x14ac:dyDescent="0.3">
      <c r="A204" s="17">
        <v>2026</v>
      </c>
      <c r="B204" s="6">
        <v>7</v>
      </c>
      <c r="C204" s="6" t="s">
        <v>2</v>
      </c>
      <c r="D204" s="6" t="s">
        <v>27</v>
      </c>
      <c r="E204" s="4"/>
      <c r="J204" s="5"/>
      <c r="N204" s="11"/>
    </row>
    <row r="205" spans="1:14" x14ac:dyDescent="0.3">
      <c r="A205" s="17">
        <v>2026</v>
      </c>
      <c r="B205" s="6">
        <v>7</v>
      </c>
      <c r="C205" s="6" t="s">
        <v>2</v>
      </c>
      <c r="D205" s="6" t="s">
        <v>28</v>
      </c>
      <c r="E205" s="2">
        <f t="shared" ref="E205" si="116">H205</f>
        <v>136362.85714285716</v>
      </c>
      <c r="H205" s="29">
        <f t="shared" ref="H205" si="117">N205/M205</f>
        <v>136362.85714285716</v>
      </c>
      <c r="J205" s="3">
        <f t="shared" ref="J205" si="118">H205/E187</f>
        <v>1.0705882352941178</v>
      </c>
      <c r="M205" s="31">
        <v>31</v>
      </c>
      <c r="N205" s="20">
        <v>4227248.5714285718</v>
      </c>
    </row>
    <row r="206" spans="1:14" x14ac:dyDescent="0.3">
      <c r="A206" s="17">
        <v>2026</v>
      </c>
      <c r="B206" s="6">
        <v>7</v>
      </c>
      <c r="C206" s="6" t="s">
        <v>4</v>
      </c>
      <c r="D206" s="6" t="s">
        <v>23</v>
      </c>
      <c r="E206" s="2"/>
      <c r="J206" s="5"/>
      <c r="N206" s="11"/>
    </row>
    <row r="207" spans="1:14" x14ac:dyDescent="0.3">
      <c r="A207" s="17">
        <v>2026</v>
      </c>
      <c r="B207" s="6">
        <v>7</v>
      </c>
      <c r="C207" s="6" t="s">
        <v>4</v>
      </c>
      <c r="D207" s="6" t="s">
        <v>24</v>
      </c>
      <c r="E207" s="2">
        <f t="shared" ref="E207:E209" si="119">E189*J207</f>
        <v>954432.00987012999</v>
      </c>
      <c r="J207" s="3">
        <f t="shared" ref="J207:J208" si="120">J208</f>
        <v>1.0705882352941176</v>
      </c>
      <c r="N207" s="11"/>
    </row>
    <row r="208" spans="1:14" x14ac:dyDescent="0.3">
      <c r="A208" s="17">
        <v>2026</v>
      </c>
      <c r="B208" s="6">
        <v>7</v>
      </c>
      <c r="C208" s="6" t="s">
        <v>4</v>
      </c>
      <c r="D208" s="6" t="s">
        <v>25</v>
      </c>
      <c r="E208" s="2">
        <f t="shared" si="119"/>
        <v>954432.00987012999</v>
      </c>
      <c r="J208" s="3">
        <f t="shared" si="120"/>
        <v>1.0705882352941176</v>
      </c>
      <c r="N208" s="11"/>
    </row>
    <row r="209" spans="1:14" x14ac:dyDescent="0.3">
      <c r="A209" s="17">
        <v>2026</v>
      </c>
      <c r="B209" s="6">
        <v>7</v>
      </c>
      <c r="C209" s="6" t="s">
        <v>4</v>
      </c>
      <c r="D209" s="6" t="s">
        <v>26</v>
      </c>
      <c r="E209" s="2">
        <f t="shared" si="119"/>
        <v>836555.37679653696</v>
      </c>
      <c r="J209" s="3">
        <f t="shared" ref="J209" si="121">J211</f>
        <v>1.0705882352941176</v>
      </c>
      <c r="N209" s="11"/>
    </row>
    <row r="210" spans="1:14" x14ac:dyDescent="0.3">
      <c r="A210" s="17">
        <v>2026</v>
      </c>
      <c r="B210" s="6">
        <v>7</v>
      </c>
      <c r="C210" s="6" t="s">
        <v>4</v>
      </c>
      <c r="D210" s="6" t="s">
        <v>27</v>
      </c>
      <c r="E210" s="4"/>
      <c r="J210" s="5"/>
      <c r="N210" s="11"/>
    </row>
    <row r="211" spans="1:14" x14ac:dyDescent="0.3">
      <c r="A211" s="17">
        <v>2026</v>
      </c>
      <c r="B211" s="6">
        <v>7</v>
      </c>
      <c r="C211" s="6" t="s">
        <v>4</v>
      </c>
      <c r="D211" s="6" t="s">
        <v>28</v>
      </c>
      <c r="E211" s="2">
        <f t="shared" ref="E211" si="122">H211</f>
        <v>783818.18181818188</v>
      </c>
      <c r="H211" s="29">
        <f t="shared" ref="H211" si="123">N211/M211</f>
        <v>783818.18181818188</v>
      </c>
      <c r="J211" s="3">
        <f t="shared" ref="J211" si="124">H211/E193</f>
        <v>1.0705882352941176</v>
      </c>
      <c r="M211" s="19">
        <v>31</v>
      </c>
      <c r="N211" s="20">
        <v>24298363.636363637</v>
      </c>
    </row>
    <row r="212" spans="1:14" x14ac:dyDescent="0.3">
      <c r="A212" s="17">
        <v>2026</v>
      </c>
      <c r="B212" s="6">
        <v>7</v>
      </c>
      <c r="C212" s="6" t="s">
        <v>9</v>
      </c>
      <c r="D212" s="6" t="s">
        <v>23</v>
      </c>
      <c r="E212" s="4"/>
      <c r="J212" s="5"/>
      <c r="N212" s="11"/>
    </row>
    <row r="213" spans="1:14" x14ac:dyDescent="0.3">
      <c r="A213" s="17">
        <v>2026</v>
      </c>
      <c r="B213" s="6">
        <v>7</v>
      </c>
      <c r="C213" s="6" t="s">
        <v>9</v>
      </c>
      <c r="D213" s="6" t="s">
        <v>24</v>
      </c>
      <c r="E213" s="2">
        <f t="shared" ref="E213:E215" si="125">E195*J213</f>
        <v>307585.66335299687</v>
      </c>
      <c r="J213" s="3">
        <f t="shared" ref="J213:J214" si="126">J214</f>
        <v>1.0705882352941176</v>
      </c>
      <c r="N213" s="11"/>
    </row>
    <row r="214" spans="1:14" x14ac:dyDescent="0.3">
      <c r="A214" s="17">
        <v>2026</v>
      </c>
      <c r="B214" s="6">
        <v>7</v>
      </c>
      <c r="C214" s="6" t="s">
        <v>9</v>
      </c>
      <c r="D214" s="6" t="s">
        <v>25</v>
      </c>
      <c r="E214" s="2">
        <f t="shared" si="125"/>
        <v>307585.66335299687</v>
      </c>
      <c r="J214" s="3">
        <f t="shared" si="126"/>
        <v>1.0705882352941176</v>
      </c>
      <c r="N214" s="11"/>
    </row>
    <row r="215" spans="1:14" x14ac:dyDescent="0.3">
      <c r="A215" s="17">
        <v>2026</v>
      </c>
      <c r="B215" s="6">
        <v>7</v>
      </c>
      <c r="C215" s="6" t="s">
        <v>9</v>
      </c>
      <c r="D215" s="6" t="s">
        <v>26</v>
      </c>
      <c r="E215" s="2">
        <f t="shared" si="125"/>
        <v>195318.42687227766</v>
      </c>
      <c r="I215" s="35">
        <f t="shared" ref="I215" si="127">SUM(H205:H217)</f>
        <v>1088543.6883116884</v>
      </c>
      <c r="J215" s="3">
        <f t="shared" ref="J215" si="128">J217</f>
        <v>1.0705882352941176</v>
      </c>
      <c r="N215" s="11"/>
    </row>
    <row r="216" spans="1:14" x14ac:dyDescent="0.3">
      <c r="A216" s="17">
        <v>2026</v>
      </c>
      <c r="B216" s="6">
        <v>7</v>
      </c>
      <c r="C216" s="6" t="s">
        <v>9</v>
      </c>
      <c r="D216" s="6" t="s">
        <v>27</v>
      </c>
      <c r="E216" s="4"/>
      <c r="J216" s="5"/>
      <c r="N216" s="11"/>
    </row>
    <row r="217" spans="1:14" ht="17.25" thickBot="1" x14ac:dyDescent="0.35">
      <c r="A217" s="18">
        <v>2026</v>
      </c>
      <c r="B217" s="15">
        <v>7</v>
      </c>
      <c r="C217" s="15" t="s">
        <v>9</v>
      </c>
      <c r="D217" s="15" t="s">
        <v>28</v>
      </c>
      <c r="E217" s="13">
        <f t="shared" ref="E217" si="129">H217</f>
        <v>168362.64935064933</v>
      </c>
      <c r="F217" s="12"/>
      <c r="G217" s="12"/>
      <c r="H217" s="30">
        <f t="shared" ref="H217" si="130">N217/M217</f>
        <v>168362.64935064933</v>
      </c>
      <c r="I217" s="34">
        <f t="shared" ref="I217" si="131">SUM(H205:H217)*M217</f>
        <v>33744854.337662339</v>
      </c>
      <c r="J217" s="14">
        <f t="shared" ref="J217" si="132">H217/E199</f>
        <v>1.0705882352941176</v>
      </c>
      <c r="K217" s="12"/>
      <c r="L217" s="12"/>
      <c r="M217" s="21">
        <v>31</v>
      </c>
      <c r="N217" s="20">
        <v>5219242.1298701288</v>
      </c>
    </row>
    <row r="218" spans="1:14" x14ac:dyDescent="0.3">
      <c r="A218" s="16">
        <v>2026</v>
      </c>
      <c r="B218" s="9">
        <v>8</v>
      </c>
      <c r="C218" s="9" t="s">
        <v>2</v>
      </c>
      <c r="D218" s="9" t="s">
        <v>23</v>
      </c>
      <c r="E218" s="8"/>
      <c r="F218" s="7"/>
      <c r="G218" s="7"/>
      <c r="H218" s="28"/>
      <c r="I218" s="33"/>
      <c r="J218" s="7"/>
      <c r="K218" s="7"/>
      <c r="L218" s="7"/>
      <c r="M218" s="9" t="s">
        <v>14</v>
      </c>
      <c r="N218" s="10" t="s">
        <v>15</v>
      </c>
    </row>
    <row r="219" spans="1:14" x14ac:dyDescent="0.3">
      <c r="A219" s="17">
        <v>2026</v>
      </c>
      <c r="B219" s="6">
        <v>8</v>
      </c>
      <c r="C219" s="6" t="s">
        <v>2</v>
      </c>
      <c r="D219" s="6" t="s">
        <v>24</v>
      </c>
      <c r="E219" s="2">
        <f t="shared" ref="E219:E221" si="133">E201*J219</f>
        <v>238378.32467532478</v>
      </c>
      <c r="J219" s="3">
        <f t="shared" ref="J219:J220" si="134">J220</f>
        <v>1</v>
      </c>
      <c r="N219" s="11"/>
    </row>
    <row r="220" spans="1:14" x14ac:dyDescent="0.3">
      <c r="A220" s="17">
        <v>2026</v>
      </c>
      <c r="B220" s="6">
        <v>8</v>
      </c>
      <c r="C220" s="6" t="s">
        <v>2</v>
      </c>
      <c r="D220" s="6" t="s">
        <v>25</v>
      </c>
      <c r="E220" s="2">
        <f t="shared" si="133"/>
        <v>238378.32467532478</v>
      </c>
      <c r="J220" s="3">
        <f t="shared" si="134"/>
        <v>1</v>
      </c>
      <c r="N220" s="11"/>
    </row>
    <row r="221" spans="1:14" x14ac:dyDescent="0.3">
      <c r="A221" s="17">
        <v>2026</v>
      </c>
      <c r="B221" s="6">
        <v>8</v>
      </c>
      <c r="C221" s="6" t="s">
        <v>2</v>
      </c>
      <c r="D221" s="6" t="s">
        <v>26</v>
      </c>
      <c r="E221" s="2">
        <f t="shared" si="133"/>
        <v>143123.37662337671</v>
      </c>
      <c r="J221" s="3">
        <f t="shared" ref="J221" si="135">J223</f>
        <v>1</v>
      </c>
      <c r="N221" s="11"/>
    </row>
    <row r="222" spans="1:14" x14ac:dyDescent="0.3">
      <c r="A222" s="17">
        <v>2026</v>
      </c>
      <c r="B222" s="6">
        <v>8</v>
      </c>
      <c r="C222" s="6" t="s">
        <v>2</v>
      </c>
      <c r="D222" s="6" t="s">
        <v>27</v>
      </c>
      <c r="E222" s="4"/>
      <c r="J222" s="5"/>
      <c r="N222" s="11"/>
    </row>
    <row r="223" spans="1:14" x14ac:dyDescent="0.3">
      <c r="A223" s="17">
        <v>2026</v>
      </c>
      <c r="B223" s="6">
        <v>8</v>
      </c>
      <c r="C223" s="6" t="s">
        <v>2</v>
      </c>
      <c r="D223" s="6" t="s">
        <v>28</v>
      </c>
      <c r="E223" s="2">
        <f t="shared" ref="E223" si="136">H223</f>
        <v>136362.85714285716</v>
      </c>
      <c r="H223" s="29">
        <f t="shared" ref="H223" si="137">N223/M223</f>
        <v>136362.85714285716</v>
      </c>
      <c r="J223" s="3">
        <f t="shared" ref="J223" si="138">H223/E205</f>
        <v>1</v>
      </c>
      <c r="M223" s="31">
        <v>28</v>
      </c>
      <c r="N223" s="20">
        <v>3818160.0000000005</v>
      </c>
    </row>
    <row r="224" spans="1:14" x14ac:dyDescent="0.3">
      <c r="A224" s="17">
        <v>2026</v>
      </c>
      <c r="B224" s="6">
        <v>8</v>
      </c>
      <c r="C224" s="6" t="s">
        <v>4</v>
      </c>
      <c r="D224" s="6" t="s">
        <v>23</v>
      </c>
      <c r="E224" s="2"/>
      <c r="J224" s="5"/>
      <c r="N224" s="11"/>
    </row>
    <row r="225" spans="1:14" x14ac:dyDescent="0.3">
      <c r="A225" s="17">
        <v>2026</v>
      </c>
      <c r="B225" s="6">
        <v>8</v>
      </c>
      <c r="C225" s="6" t="s">
        <v>4</v>
      </c>
      <c r="D225" s="6" t="s">
        <v>24</v>
      </c>
      <c r="E225" s="2">
        <f t="shared" ref="E225:E227" si="139">E207*J225</f>
        <v>954432.00987012999</v>
      </c>
      <c r="J225" s="3">
        <f t="shared" ref="J225:J226" si="140">J226</f>
        <v>1</v>
      </c>
      <c r="N225" s="11"/>
    </row>
    <row r="226" spans="1:14" x14ac:dyDescent="0.3">
      <c r="A226" s="17">
        <v>2026</v>
      </c>
      <c r="B226" s="6">
        <v>8</v>
      </c>
      <c r="C226" s="6" t="s">
        <v>4</v>
      </c>
      <c r="D226" s="6" t="s">
        <v>25</v>
      </c>
      <c r="E226" s="2">
        <f t="shared" si="139"/>
        <v>954432.00987012999</v>
      </c>
      <c r="J226" s="3">
        <f t="shared" si="140"/>
        <v>1</v>
      </c>
      <c r="N226" s="11"/>
    </row>
    <row r="227" spans="1:14" x14ac:dyDescent="0.3">
      <c r="A227" s="17">
        <v>2026</v>
      </c>
      <c r="B227" s="6">
        <v>8</v>
      </c>
      <c r="C227" s="6" t="s">
        <v>4</v>
      </c>
      <c r="D227" s="6" t="s">
        <v>26</v>
      </c>
      <c r="E227" s="2">
        <f t="shared" si="139"/>
        <v>836555.37679653696</v>
      </c>
      <c r="J227" s="3">
        <f t="shared" ref="J227" si="141">J229</f>
        <v>1</v>
      </c>
      <c r="N227" s="11"/>
    </row>
    <row r="228" spans="1:14" x14ac:dyDescent="0.3">
      <c r="A228" s="17">
        <v>2026</v>
      </c>
      <c r="B228" s="6">
        <v>8</v>
      </c>
      <c r="C228" s="6" t="s">
        <v>4</v>
      </c>
      <c r="D228" s="6" t="s">
        <v>27</v>
      </c>
      <c r="E228" s="4"/>
      <c r="J228" s="5"/>
      <c r="N228" s="11"/>
    </row>
    <row r="229" spans="1:14" x14ac:dyDescent="0.3">
      <c r="A229" s="17">
        <v>2026</v>
      </c>
      <c r="B229" s="6">
        <v>8</v>
      </c>
      <c r="C229" s="6" t="s">
        <v>4</v>
      </c>
      <c r="D229" s="6" t="s">
        <v>28</v>
      </c>
      <c r="E229" s="2">
        <f t="shared" ref="E229" si="142">H229</f>
        <v>783818.18181818188</v>
      </c>
      <c r="H229" s="29">
        <f t="shared" ref="H229" si="143">N229/M229</f>
        <v>783818.18181818188</v>
      </c>
      <c r="J229" s="3">
        <f t="shared" ref="J229" si="144">H229/E211</f>
        <v>1</v>
      </c>
      <c r="M229" s="19">
        <v>28</v>
      </c>
      <c r="N229" s="20">
        <v>21946909.090909094</v>
      </c>
    </row>
    <row r="230" spans="1:14" x14ac:dyDescent="0.3">
      <c r="A230" s="17">
        <v>2026</v>
      </c>
      <c r="B230" s="6">
        <v>8</v>
      </c>
      <c r="C230" s="6" t="s">
        <v>9</v>
      </c>
      <c r="D230" s="6" t="s">
        <v>23</v>
      </c>
      <c r="E230" s="4"/>
      <c r="J230" s="5"/>
      <c r="N230" s="11"/>
    </row>
    <row r="231" spans="1:14" x14ac:dyDescent="0.3">
      <c r="A231" s="17">
        <v>2026</v>
      </c>
      <c r="B231" s="6">
        <v>8</v>
      </c>
      <c r="C231" s="6" t="s">
        <v>9</v>
      </c>
      <c r="D231" s="6" t="s">
        <v>24</v>
      </c>
      <c r="E231" s="2">
        <f t="shared" ref="E231:E233" si="145">E213*J231</f>
        <v>307585.66335299693</v>
      </c>
      <c r="J231" s="3">
        <f t="shared" ref="J231:J232" si="146">J232</f>
        <v>1.0000000000000002</v>
      </c>
      <c r="N231" s="11"/>
    </row>
    <row r="232" spans="1:14" x14ac:dyDescent="0.3">
      <c r="A232" s="17">
        <v>2026</v>
      </c>
      <c r="B232" s="6">
        <v>8</v>
      </c>
      <c r="C232" s="6" t="s">
        <v>9</v>
      </c>
      <c r="D232" s="6" t="s">
        <v>25</v>
      </c>
      <c r="E232" s="2">
        <f t="shared" si="145"/>
        <v>307585.66335299693</v>
      </c>
      <c r="J232" s="3">
        <f t="shared" si="146"/>
        <v>1.0000000000000002</v>
      </c>
      <c r="N232" s="11"/>
    </row>
    <row r="233" spans="1:14" x14ac:dyDescent="0.3">
      <c r="A233" s="17">
        <v>2026</v>
      </c>
      <c r="B233" s="6">
        <v>8</v>
      </c>
      <c r="C233" s="6" t="s">
        <v>9</v>
      </c>
      <c r="D233" s="6" t="s">
        <v>26</v>
      </c>
      <c r="E233" s="2">
        <f t="shared" si="145"/>
        <v>195318.42687227769</v>
      </c>
      <c r="I233" s="35">
        <f t="shared" ref="I233" si="147">SUM(H223:H235)</f>
        <v>1088543.6883116884</v>
      </c>
      <c r="J233" s="3">
        <f t="shared" ref="J233" si="148">J235</f>
        <v>1.0000000000000002</v>
      </c>
      <c r="N233" s="11"/>
    </row>
    <row r="234" spans="1:14" x14ac:dyDescent="0.3">
      <c r="A234" s="17">
        <v>2026</v>
      </c>
      <c r="B234" s="6">
        <v>8</v>
      </c>
      <c r="C234" s="6" t="s">
        <v>9</v>
      </c>
      <c r="D234" s="6" t="s">
        <v>27</v>
      </c>
      <c r="E234" s="4"/>
      <c r="J234" s="5"/>
      <c r="N234" s="11"/>
    </row>
    <row r="235" spans="1:14" ht="17.25" thickBot="1" x14ac:dyDescent="0.35">
      <c r="A235" s="18">
        <v>2026</v>
      </c>
      <c r="B235" s="15">
        <v>8</v>
      </c>
      <c r="C235" s="15" t="s">
        <v>9</v>
      </c>
      <c r="D235" s="15" t="s">
        <v>28</v>
      </c>
      <c r="E235" s="13">
        <f t="shared" ref="E235" si="149">H235</f>
        <v>168362.64935064936</v>
      </c>
      <c r="F235" s="12"/>
      <c r="G235" s="12"/>
      <c r="H235" s="30">
        <f t="shared" ref="H235" si="150">N235/M235</f>
        <v>168362.64935064936</v>
      </c>
      <c r="I235" s="34">
        <f t="shared" ref="I235" si="151">SUM(H223:H235)*M235</f>
        <v>30479223.272727273</v>
      </c>
      <c r="J235" s="14">
        <f t="shared" ref="J235" si="152">H235/E217</f>
        <v>1.0000000000000002</v>
      </c>
      <c r="K235" s="12"/>
      <c r="L235" s="12"/>
      <c r="M235" s="21">
        <v>28</v>
      </c>
      <c r="N235" s="20">
        <v>4714154.1818181816</v>
      </c>
    </row>
    <row r="236" spans="1:14" x14ac:dyDescent="0.3">
      <c r="A236" s="16">
        <v>2026</v>
      </c>
      <c r="B236" s="9">
        <v>9</v>
      </c>
      <c r="C236" s="9" t="s">
        <v>2</v>
      </c>
      <c r="D236" s="9" t="s">
        <v>23</v>
      </c>
      <c r="E236" s="8"/>
      <c r="F236" s="7"/>
      <c r="G236" s="7"/>
      <c r="H236" s="28"/>
      <c r="I236" s="33"/>
      <c r="J236" s="7"/>
      <c r="K236" s="7"/>
      <c r="L236" s="7"/>
      <c r="M236" s="9" t="s">
        <v>14</v>
      </c>
      <c r="N236" s="10" t="s">
        <v>15</v>
      </c>
    </row>
    <row r="237" spans="1:14" x14ac:dyDescent="0.3">
      <c r="A237" s="17">
        <v>2026</v>
      </c>
      <c r="B237" s="6">
        <v>9</v>
      </c>
      <c r="C237" s="6" t="s">
        <v>2</v>
      </c>
      <c r="D237" s="6" t="s">
        <v>24</v>
      </c>
      <c r="E237" s="2">
        <f t="shared" ref="E237:E239" si="153">E219*J237</f>
        <v>238378.32467532478</v>
      </c>
      <c r="J237" s="3">
        <f t="shared" ref="J237:J238" si="154">J238</f>
        <v>1</v>
      </c>
      <c r="N237" s="11"/>
    </row>
    <row r="238" spans="1:14" x14ac:dyDescent="0.3">
      <c r="A238" s="17">
        <v>2026</v>
      </c>
      <c r="B238" s="6">
        <v>9</v>
      </c>
      <c r="C238" s="6" t="s">
        <v>2</v>
      </c>
      <c r="D238" s="6" t="s">
        <v>25</v>
      </c>
      <c r="E238" s="2">
        <f t="shared" si="153"/>
        <v>238378.32467532478</v>
      </c>
      <c r="J238" s="3">
        <f t="shared" si="154"/>
        <v>1</v>
      </c>
      <c r="N238" s="11"/>
    </row>
    <row r="239" spans="1:14" x14ac:dyDescent="0.3">
      <c r="A239" s="17">
        <v>2026</v>
      </c>
      <c r="B239" s="6">
        <v>9</v>
      </c>
      <c r="C239" s="6" t="s">
        <v>2</v>
      </c>
      <c r="D239" s="6" t="s">
        <v>26</v>
      </c>
      <c r="E239" s="2">
        <f t="shared" si="153"/>
        <v>143123.37662337671</v>
      </c>
      <c r="J239" s="3">
        <f t="shared" ref="J239" si="155">J241</f>
        <v>1</v>
      </c>
      <c r="N239" s="11"/>
    </row>
    <row r="240" spans="1:14" x14ac:dyDescent="0.3">
      <c r="A240" s="17">
        <v>2026</v>
      </c>
      <c r="B240" s="6">
        <v>9</v>
      </c>
      <c r="C240" s="6" t="s">
        <v>2</v>
      </c>
      <c r="D240" s="6" t="s">
        <v>27</v>
      </c>
      <c r="E240" s="4"/>
      <c r="J240" s="5"/>
      <c r="N240" s="11"/>
    </row>
    <row r="241" spans="1:14" x14ac:dyDescent="0.3">
      <c r="A241" s="17">
        <v>2026</v>
      </c>
      <c r="B241" s="6">
        <v>9</v>
      </c>
      <c r="C241" s="6" t="s">
        <v>2</v>
      </c>
      <c r="D241" s="6" t="s">
        <v>28</v>
      </c>
      <c r="E241" s="2">
        <f t="shared" ref="E241" si="156">H241</f>
        <v>136362.85714285716</v>
      </c>
      <c r="H241" s="29">
        <f t="shared" ref="H241" si="157">N241/M241</f>
        <v>136362.85714285716</v>
      </c>
      <c r="J241" s="3">
        <f t="shared" ref="J241" si="158">H241/E223</f>
        <v>1</v>
      </c>
      <c r="M241" s="31">
        <v>27</v>
      </c>
      <c r="N241" s="20">
        <v>3681797.1428571432</v>
      </c>
    </row>
    <row r="242" spans="1:14" x14ac:dyDescent="0.3">
      <c r="A242" s="17">
        <v>2026</v>
      </c>
      <c r="B242" s="6">
        <v>9</v>
      </c>
      <c r="C242" s="6" t="s">
        <v>4</v>
      </c>
      <c r="D242" s="6" t="s">
        <v>23</v>
      </c>
      <c r="E242" s="2"/>
      <c r="J242" s="5"/>
      <c r="N242" s="11"/>
    </row>
    <row r="243" spans="1:14" x14ac:dyDescent="0.3">
      <c r="A243" s="17">
        <v>2026</v>
      </c>
      <c r="B243" s="6">
        <v>9</v>
      </c>
      <c r="C243" s="6" t="s">
        <v>4</v>
      </c>
      <c r="D243" s="6" t="s">
        <v>24</v>
      </c>
      <c r="E243" s="2">
        <f t="shared" ref="E243:E245" si="159">E225*J243</f>
        <v>954432.00987012999</v>
      </c>
      <c r="J243" s="3">
        <f t="shared" ref="J243:J244" si="160">J244</f>
        <v>1</v>
      </c>
      <c r="N243" s="11"/>
    </row>
    <row r="244" spans="1:14" x14ac:dyDescent="0.3">
      <c r="A244" s="17">
        <v>2026</v>
      </c>
      <c r="B244" s="6">
        <v>9</v>
      </c>
      <c r="C244" s="6" t="s">
        <v>4</v>
      </c>
      <c r="D244" s="6" t="s">
        <v>25</v>
      </c>
      <c r="E244" s="2">
        <f t="shared" si="159"/>
        <v>954432.00987012999</v>
      </c>
      <c r="J244" s="3">
        <f t="shared" si="160"/>
        <v>1</v>
      </c>
      <c r="N244" s="11"/>
    </row>
    <row r="245" spans="1:14" x14ac:dyDescent="0.3">
      <c r="A245" s="17">
        <v>2026</v>
      </c>
      <c r="B245" s="6">
        <v>9</v>
      </c>
      <c r="C245" s="6" t="s">
        <v>4</v>
      </c>
      <c r="D245" s="6" t="s">
        <v>26</v>
      </c>
      <c r="E245" s="2">
        <f t="shared" si="159"/>
        <v>836555.37679653696</v>
      </c>
      <c r="J245" s="3">
        <f t="shared" ref="J245" si="161">J247</f>
        <v>1</v>
      </c>
      <c r="N245" s="11"/>
    </row>
    <row r="246" spans="1:14" x14ac:dyDescent="0.3">
      <c r="A246" s="17">
        <v>2026</v>
      </c>
      <c r="B246" s="6">
        <v>9</v>
      </c>
      <c r="C246" s="6" t="s">
        <v>4</v>
      </c>
      <c r="D246" s="6" t="s">
        <v>27</v>
      </c>
      <c r="E246" s="4"/>
      <c r="J246" s="5"/>
      <c r="N246" s="11"/>
    </row>
    <row r="247" spans="1:14" x14ac:dyDescent="0.3">
      <c r="A247" s="17">
        <v>2026</v>
      </c>
      <c r="B247" s="6">
        <v>9</v>
      </c>
      <c r="C247" s="6" t="s">
        <v>4</v>
      </c>
      <c r="D247" s="6" t="s">
        <v>28</v>
      </c>
      <c r="E247" s="2">
        <f t="shared" ref="E247" si="162">H247</f>
        <v>783818.18181818188</v>
      </c>
      <c r="H247" s="29">
        <f t="shared" ref="H247" si="163">N247/M247</f>
        <v>783818.18181818188</v>
      </c>
      <c r="J247" s="3">
        <f t="shared" ref="J247" si="164">H247/E229</f>
        <v>1</v>
      </c>
      <c r="M247" s="19">
        <v>27</v>
      </c>
      <c r="N247" s="20">
        <v>21163090.90909091</v>
      </c>
    </row>
    <row r="248" spans="1:14" x14ac:dyDescent="0.3">
      <c r="A248" s="17">
        <v>2026</v>
      </c>
      <c r="B248" s="6">
        <v>9</v>
      </c>
      <c r="C248" s="6" t="s">
        <v>9</v>
      </c>
      <c r="D248" s="6" t="s">
        <v>23</v>
      </c>
      <c r="E248" s="4"/>
      <c r="J248" s="5"/>
      <c r="N248" s="11"/>
    </row>
    <row r="249" spans="1:14" x14ac:dyDescent="0.3">
      <c r="A249" s="17">
        <v>2026</v>
      </c>
      <c r="B249" s="6">
        <v>9</v>
      </c>
      <c r="C249" s="6" t="s">
        <v>9</v>
      </c>
      <c r="D249" s="6" t="s">
        <v>24</v>
      </c>
      <c r="E249" s="2">
        <f t="shared" ref="E249:E251" si="165">E231*J249</f>
        <v>307585.66335299687</v>
      </c>
      <c r="J249" s="3">
        <f t="shared" ref="J249:J250" si="166">J250</f>
        <v>0.99999999999999978</v>
      </c>
      <c r="N249" s="11"/>
    </row>
    <row r="250" spans="1:14" x14ac:dyDescent="0.3">
      <c r="A250" s="17">
        <v>2026</v>
      </c>
      <c r="B250" s="6">
        <v>9</v>
      </c>
      <c r="C250" s="6" t="s">
        <v>9</v>
      </c>
      <c r="D250" s="6" t="s">
        <v>25</v>
      </c>
      <c r="E250" s="2">
        <f t="shared" si="165"/>
        <v>307585.66335299687</v>
      </c>
      <c r="J250" s="3">
        <f t="shared" si="166"/>
        <v>0.99999999999999978</v>
      </c>
      <c r="N250" s="11"/>
    </row>
    <row r="251" spans="1:14" x14ac:dyDescent="0.3">
      <c r="A251" s="17">
        <v>2026</v>
      </c>
      <c r="B251" s="6">
        <v>9</v>
      </c>
      <c r="C251" s="6" t="s">
        <v>9</v>
      </c>
      <c r="D251" s="6" t="s">
        <v>26</v>
      </c>
      <c r="E251" s="2">
        <f t="shared" si="165"/>
        <v>195318.42687227766</v>
      </c>
      <c r="I251" s="35">
        <f t="shared" ref="I251" si="167">SUM(H241:H253)</f>
        <v>1088543.6883116884</v>
      </c>
      <c r="J251" s="3">
        <f t="shared" ref="J251" si="168">J253</f>
        <v>0.99999999999999978</v>
      </c>
      <c r="N251" s="11"/>
    </row>
    <row r="252" spans="1:14" x14ac:dyDescent="0.3">
      <c r="A252" s="17">
        <v>2026</v>
      </c>
      <c r="B252" s="6">
        <v>9</v>
      </c>
      <c r="C252" s="6" t="s">
        <v>9</v>
      </c>
      <c r="D252" s="6" t="s">
        <v>27</v>
      </c>
      <c r="E252" s="4"/>
      <c r="J252" s="5"/>
      <c r="N252" s="11"/>
    </row>
    <row r="253" spans="1:14" ht="17.25" thickBot="1" x14ac:dyDescent="0.35">
      <c r="A253" s="18">
        <v>2026</v>
      </c>
      <c r="B253" s="15">
        <v>9</v>
      </c>
      <c r="C253" s="15" t="s">
        <v>9</v>
      </c>
      <c r="D253" s="15" t="s">
        <v>28</v>
      </c>
      <c r="E253" s="13">
        <f t="shared" ref="E253" si="169">H253</f>
        <v>168362.64935064933</v>
      </c>
      <c r="F253" s="12"/>
      <c r="G253" s="12"/>
      <c r="H253" s="30">
        <f t="shared" ref="H253" si="170">N253/M253</f>
        <v>168362.64935064933</v>
      </c>
      <c r="I253" s="34">
        <f t="shared" ref="I253" si="171">SUM(H241:H253)*M253</f>
        <v>29390679.584415585</v>
      </c>
      <c r="J253" s="14">
        <f t="shared" ref="J253" si="172">H253/E235</f>
        <v>0.99999999999999978</v>
      </c>
      <c r="K253" s="12"/>
      <c r="L253" s="12"/>
      <c r="M253" s="21">
        <v>27</v>
      </c>
      <c r="N253" s="20">
        <v>4545791.532467532</v>
      </c>
    </row>
    <row r="254" spans="1:14" x14ac:dyDescent="0.3">
      <c r="A254" s="16">
        <v>2026</v>
      </c>
      <c r="B254" s="9">
        <v>10</v>
      </c>
      <c r="C254" s="9" t="s">
        <v>2</v>
      </c>
      <c r="D254" s="9" t="s">
        <v>23</v>
      </c>
      <c r="E254" s="8"/>
      <c r="F254" s="7"/>
      <c r="G254" s="7"/>
      <c r="H254" s="28"/>
      <c r="I254" s="33"/>
      <c r="J254" s="7"/>
      <c r="K254" s="7"/>
      <c r="L254" s="7"/>
      <c r="M254" s="9" t="s">
        <v>14</v>
      </c>
      <c r="N254" s="10" t="s">
        <v>15</v>
      </c>
    </row>
    <row r="255" spans="1:14" x14ac:dyDescent="0.3">
      <c r="A255" s="17">
        <v>2026</v>
      </c>
      <c r="B255" s="6">
        <v>10</v>
      </c>
      <c r="C255" s="6" t="s">
        <v>2</v>
      </c>
      <c r="D255" s="6" t="s">
        <v>24</v>
      </c>
      <c r="E255" s="2">
        <f t="shared" ref="E255:E257" si="173">E237*J255</f>
        <v>258978.92063492074</v>
      </c>
      <c r="J255" s="3">
        <f t="shared" ref="J255:J256" si="174">J256</f>
        <v>1.0864197530864197</v>
      </c>
      <c r="N255" s="11"/>
    </row>
    <row r="256" spans="1:14" x14ac:dyDescent="0.3">
      <c r="A256" s="17">
        <v>2026</v>
      </c>
      <c r="B256" s="6">
        <v>10</v>
      </c>
      <c r="C256" s="6" t="s">
        <v>2</v>
      </c>
      <c r="D256" s="6" t="s">
        <v>25</v>
      </c>
      <c r="E256" s="2">
        <f t="shared" si="173"/>
        <v>258978.92063492074</v>
      </c>
      <c r="J256" s="3">
        <f t="shared" si="174"/>
        <v>1.0864197530864197</v>
      </c>
      <c r="N256" s="11"/>
    </row>
    <row r="257" spans="1:14" x14ac:dyDescent="0.3">
      <c r="A257" s="17">
        <v>2026</v>
      </c>
      <c r="B257" s="6">
        <v>10</v>
      </c>
      <c r="C257" s="6" t="s">
        <v>2</v>
      </c>
      <c r="D257" s="6" t="s">
        <v>26</v>
      </c>
      <c r="E257" s="2">
        <f t="shared" si="173"/>
        <v>155492.06349206358</v>
      </c>
      <c r="J257" s="3">
        <f t="shared" ref="J257" si="175">J259</f>
        <v>1.0864197530864197</v>
      </c>
      <c r="N257" s="11"/>
    </row>
    <row r="258" spans="1:14" x14ac:dyDescent="0.3">
      <c r="A258" s="17">
        <v>2026</v>
      </c>
      <c r="B258" s="6">
        <v>10</v>
      </c>
      <c r="C258" s="6" t="s">
        <v>2</v>
      </c>
      <c r="D258" s="6" t="s">
        <v>27</v>
      </c>
      <c r="E258" s="4"/>
      <c r="J258" s="5"/>
      <c r="N258" s="11"/>
    </row>
    <row r="259" spans="1:14" x14ac:dyDescent="0.3">
      <c r="A259" s="17">
        <v>2026</v>
      </c>
      <c r="B259" s="6">
        <v>10</v>
      </c>
      <c r="C259" s="6" t="s">
        <v>2</v>
      </c>
      <c r="D259" s="6" t="s">
        <v>28</v>
      </c>
      <c r="E259" s="2">
        <f t="shared" ref="E259" si="176">H259</f>
        <v>148147.3015873016</v>
      </c>
      <c r="H259" s="29">
        <f t="shared" ref="H259" si="177">N259/M259</f>
        <v>148147.3015873016</v>
      </c>
      <c r="J259" s="3">
        <f t="shared" ref="J259" si="178">H259/E241</f>
        <v>1.0864197530864197</v>
      </c>
      <c r="M259" s="31">
        <v>31</v>
      </c>
      <c r="N259" s="20">
        <v>4592566.3492063498</v>
      </c>
    </row>
    <row r="260" spans="1:14" x14ac:dyDescent="0.3">
      <c r="A260" s="17">
        <v>2026</v>
      </c>
      <c r="B260" s="6">
        <v>10</v>
      </c>
      <c r="C260" s="6" t="s">
        <v>4</v>
      </c>
      <c r="D260" s="6" t="s">
        <v>23</v>
      </c>
      <c r="E260" s="2"/>
      <c r="J260" s="5"/>
      <c r="N260" s="11"/>
    </row>
    <row r="261" spans="1:14" x14ac:dyDescent="0.3">
      <c r="A261" s="17">
        <v>2026</v>
      </c>
      <c r="B261" s="6">
        <v>10</v>
      </c>
      <c r="C261" s="6" t="s">
        <v>4</v>
      </c>
      <c r="D261" s="6" t="s">
        <v>24</v>
      </c>
      <c r="E261" s="2">
        <f t="shared" ref="E261:E263" si="179">E243*J261</f>
        <v>1036913.7885008819</v>
      </c>
      <c r="J261" s="3">
        <f t="shared" ref="J261:J262" si="180">J262</f>
        <v>1.0864197530864197</v>
      </c>
      <c r="N261" s="11"/>
    </row>
    <row r="262" spans="1:14" x14ac:dyDescent="0.3">
      <c r="A262" s="17">
        <v>2026</v>
      </c>
      <c r="B262" s="6">
        <v>10</v>
      </c>
      <c r="C262" s="6" t="s">
        <v>4</v>
      </c>
      <c r="D262" s="6" t="s">
        <v>25</v>
      </c>
      <c r="E262" s="2">
        <f t="shared" si="179"/>
        <v>1036913.7885008819</v>
      </c>
      <c r="J262" s="3">
        <f t="shared" si="180"/>
        <v>1.0864197530864197</v>
      </c>
      <c r="N262" s="11"/>
    </row>
    <row r="263" spans="1:14" x14ac:dyDescent="0.3">
      <c r="A263" s="17">
        <v>2026</v>
      </c>
      <c r="B263" s="6">
        <v>10</v>
      </c>
      <c r="C263" s="6" t="s">
        <v>4</v>
      </c>
      <c r="D263" s="6" t="s">
        <v>26</v>
      </c>
      <c r="E263" s="2">
        <f t="shared" si="179"/>
        <v>908850.28590241051</v>
      </c>
      <c r="J263" s="3">
        <f t="shared" ref="J263" si="181">J265</f>
        <v>1.0864197530864197</v>
      </c>
      <c r="N263" s="11"/>
    </row>
    <row r="264" spans="1:14" x14ac:dyDescent="0.3">
      <c r="A264" s="17">
        <v>2026</v>
      </c>
      <c r="B264" s="6">
        <v>10</v>
      </c>
      <c r="C264" s="6" t="s">
        <v>4</v>
      </c>
      <c r="D264" s="6" t="s">
        <v>27</v>
      </c>
      <c r="E264" s="4"/>
      <c r="J264" s="5"/>
      <c r="N264" s="11"/>
    </row>
    <row r="265" spans="1:14" x14ac:dyDescent="0.3">
      <c r="A265" s="17">
        <v>2026</v>
      </c>
      <c r="B265" s="6">
        <v>10</v>
      </c>
      <c r="C265" s="6" t="s">
        <v>4</v>
      </c>
      <c r="D265" s="6" t="s">
        <v>28</v>
      </c>
      <c r="E265" s="2">
        <f t="shared" ref="E265" si="182">H265</f>
        <v>851555.5555555555</v>
      </c>
      <c r="H265" s="29">
        <f t="shared" ref="H265" si="183">N265/M265</f>
        <v>851555.5555555555</v>
      </c>
      <c r="J265" s="3">
        <f t="shared" ref="J265" si="184">H265/E247</f>
        <v>1.0864197530864197</v>
      </c>
      <c r="M265" s="19">
        <v>31</v>
      </c>
      <c r="N265" s="20">
        <v>26398222.22222222</v>
      </c>
    </row>
    <row r="266" spans="1:14" x14ac:dyDescent="0.3">
      <c r="A266" s="17">
        <v>2026</v>
      </c>
      <c r="B266" s="6">
        <v>10</v>
      </c>
      <c r="C266" s="6" t="s">
        <v>9</v>
      </c>
      <c r="D266" s="6" t="s">
        <v>23</v>
      </c>
      <c r="E266" s="4"/>
      <c r="J266" s="5"/>
      <c r="N266" s="11"/>
    </row>
    <row r="267" spans="1:14" x14ac:dyDescent="0.3">
      <c r="A267" s="17">
        <v>2026</v>
      </c>
      <c r="B267" s="6">
        <v>10</v>
      </c>
      <c r="C267" s="6" t="s">
        <v>9</v>
      </c>
      <c r="D267" s="6" t="s">
        <v>24</v>
      </c>
      <c r="E267" s="2">
        <f t="shared" ref="E267:E269" si="185">E249*J267</f>
        <v>334167.14043288562</v>
      </c>
      <c r="J267" s="3">
        <f t="shared" ref="J267:J268" si="186">J268</f>
        <v>1.0864197530864201</v>
      </c>
      <c r="N267" s="11"/>
    </row>
    <row r="268" spans="1:14" x14ac:dyDescent="0.3">
      <c r="A268" s="17">
        <v>2026</v>
      </c>
      <c r="B268" s="6">
        <v>10</v>
      </c>
      <c r="C268" s="6" t="s">
        <v>9</v>
      </c>
      <c r="D268" s="6" t="s">
        <v>25</v>
      </c>
      <c r="E268" s="2">
        <f t="shared" si="185"/>
        <v>334167.14043288562</v>
      </c>
      <c r="J268" s="3">
        <f t="shared" si="186"/>
        <v>1.0864197530864201</v>
      </c>
      <c r="N268" s="11"/>
    </row>
    <row r="269" spans="1:14" x14ac:dyDescent="0.3">
      <c r="A269" s="17">
        <v>2026</v>
      </c>
      <c r="B269" s="6">
        <v>10</v>
      </c>
      <c r="C269" s="6" t="s">
        <v>9</v>
      </c>
      <c r="D269" s="6" t="s">
        <v>26</v>
      </c>
      <c r="E269" s="2">
        <f t="shared" si="185"/>
        <v>212197.79709580791</v>
      </c>
      <c r="I269" s="35">
        <f t="shared" ref="I269" si="187">SUM(H259:H271)</f>
        <v>1182615.365079365</v>
      </c>
      <c r="J269" s="3">
        <f t="shared" ref="J269" si="188">J271</f>
        <v>1.0864197530864201</v>
      </c>
      <c r="N269" s="11"/>
    </row>
    <row r="270" spans="1:14" x14ac:dyDescent="0.3">
      <c r="A270" s="17">
        <v>2026</v>
      </c>
      <c r="B270" s="6">
        <v>10</v>
      </c>
      <c r="C270" s="6" t="s">
        <v>9</v>
      </c>
      <c r="D270" s="6" t="s">
        <v>27</v>
      </c>
      <c r="E270" s="4"/>
      <c r="J270" s="5"/>
      <c r="N270" s="11"/>
    </row>
    <row r="271" spans="1:14" ht="17.25" thickBot="1" x14ac:dyDescent="0.35">
      <c r="A271" s="18">
        <v>2026</v>
      </c>
      <c r="B271" s="15">
        <v>10</v>
      </c>
      <c r="C271" s="15" t="s">
        <v>9</v>
      </c>
      <c r="D271" s="15" t="s">
        <v>28</v>
      </c>
      <c r="E271" s="13">
        <f t="shared" ref="E271" si="189">H271</f>
        <v>182912.50793650796</v>
      </c>
      <c r="F271" s="12"/>
      <c r="G271" s="12"/>
      <c r="H271" s="30">
        <f t="shared" ref="H271" si="190">N271/M271</f>
        <v>182912.50793650796</v>
      </c>
      <c r="I271" s="34">
        <f t="shared" ref="I271" si="191">SUM(H259:H271)*M271</f>
        <v>36661076.317460313</v>
      </c>
      <c r="J271" s="14">
        <f t="shared" ref="J271" si="192">H271/E253</f>
        <v>1.0864197530864201</v>
      </c>
      <c r="K271" s="12"/>
      <c r="L271" s="12"/>
      <c r="M271" s="21">
        <v>31</v>
      </c>
      <c r="N271" s="20">
        <v>5670287.7460317463</v>
      </c>
    </row>
    <row r="272" spans="1:14" x14ac:dyDescent="0.3">
      <c r="A272" s="16">
        <v>2026</v>
      </c>
      <c r="B272" s="9">
        <v>11</v>
      </c>
      <c r="C272" s="9" t="s">
        <v>2</v>
      </c>
      <c r="D272" s="9" t="s">
        <v>23</v>
      </c>
      <c r="E272" s="8"/>
      <c r="F272" s="7"/>
      <c r="G272" s="7"/>
      <c r="H272" s="28"/>
      <c r="I272" s="33"/>
      <c r="J272" s="7"/>
      <c r="K272" s="7"/>
      <c r="L272" s="7"/>
      <c r="M272" s="9" t="s">
        <v>14</v>
      </c>
      <c r="N272" s="10" t="s">
        <v>15</v>
      </c>
    </row>
    <row r="273" spans="1:14" x14ac:dyDescent="0.3">
      <c r="A273" s="17">
        <v>2026</v>
      </c>
      <c r="B273" s="6">
        <v>11</v>
      </c>
      <c r="C273" s="6" t="s">
        <v>2</v>
      </c>
      <c r="D273" s="6" t="s">
        <v>24</v>
      </c>
      <c r="E273" s="2">
        <f t="shared" ref="E273:E275" si="193">E255*J273</f>
        <v>258978.92063492074</v>
      </c>
      <c r="J273" s="3">
        <f t="shared" ref="J273:J274" si="194">J274</f>
        <v>1</v>
      </c>
      <c r="N273" s="11"/>
    </row>
    <row r="274" spans="1:14" x14ac:dyDescent="0.3">
      <c r="A274" s="17">
        <v>2026</v>
      </c>
      <c r="B274" s="6">
        <v>11</v>
      </c>
      <c r="C274" s="6" t="s">
        <v>2</v>
      </c>
      <c r="D274" s="6" t="s">
        <v>25</v>
      </c>
      <c r="E274" s="2">
        <f t="shared" si="193"/>
        <v>258978.92063492074</v>
      </c>
      <c r="J274" s="3">
        <f t="shared" si="194"/>
        <v>1</v>
      </c>
      <c r="N274" s="11"/>
    </row>
    <row r="275" spans="1:14" x14ac:dyDescent="0.3">
      <c r="A275" s="17">
        <v>2026</v>
      </c>
      <c r="B275" s="6">
        <v>11</v>
      </c>
      <c r="C275" s="6" t="s">
        <v>2</v>
      </c>
      <c r="D275" s="6" t="s">
        <v>26</v>
      </c>
      <c r="E275" s="2">
        <f t="shared" si="193"/>
        <v>155492.06349206358</v>
      </c>
      <c r="J275" s="3">
        <f t="shared" ref="J275" si="195">J277</f>
        <v>1</v>
      </c>
      <c r="N275" s="11"/>
    </row>
    <row r="276" spans="1:14" x14ac:dyDescent="0.3">
      <c r="A276" s="17">
        <v>2026</v>
      </c>
      <c r="B276" s="6">
        <v>11</v>
      </c>
      <c r="C276" s="6" t="s">
        <v>2</v>
      </c>
      <c r="D276" s="6" t="s">
        <v>27</v>
      </c>
      <c r="E276" s="4"/>
      <c r="J276" s="5"/>
      <c r="N276" s="11"/>
    </row>
    <row r="277" spans="1:14" x14ac:dyDescent="0.3">
      <c r="A277" s="17">
        <v>2026</v>
      </c>
      <c r="B277" s="6">
        <v>11</v>
      </c>
      <c r="C277" s="6" t="s">
        <v>2</v>
      </c>
      <c r="D277" s="6" t="s">
        <v>28</v>
      </c>
      <c r="E277" s="2">
        <f t="shared" ref="E277" si="196">H277</f>
        <v>148147.3015873016</v>
      </c>
      <c r="H277" s="29">
        <f t="shared" ref="H277" si="197">N277/M277</f>
        <v>148147.3015873016</v>
      </c>
      <c r="J277" s="3">
        <f t="shared" ref="J277" si="198">H277/E259</f>
        <v>1</v>
      </c>
      <c r="M277" s="31">
        <v>30</v>
      </c>
      <c r="N277" s="20">
        <v>4444419.0476190476</v>
      </c>
    </row>
    <row r="278" spans="1:14" x14ac:dyDescent="0.3">
      <c r="A278" s="17">
        <v>2026</v>
      </c>
      <c r="B278" s="6">
        <v>11</v>
      </c>
      <c r="C278" s="6" t="s">
        <v>4</v>
      </c>
      <c r="D278" s="6" t="s">
        <v>23</v>
      </c>
      <c r="E278" s="2"/>
      <c r="J278" s="5"/>
      <c r="N278" s="11"/>
    </row>
    <row r="279" spans="1:14" x14ac:dyDescent="0.3">
      <c r="A279" s="17">
        <v>2026</v>
      </c>
      <c r="B279" s="6">
        <v>11</v>
      </c>
      <c r="C279" s="6" t="s">
        <v>4</v>
      </c>
      <c r="D279" s="6" t="s">
        <v>24</v>
      </c>
      <c r="E279" s="2">
        <f t="shared" ref="E279:E281" si="199">E261*J279</f>
        <v>1036913.7885008819</v>
      </c>
      <c r="J279" s="3">
        <f t="shared" ref="J279:J280" si="200">J280</f>
        <v>1</v>
      </c>
      <c r="N279" s="11"/>
    </row>
    <row r="280" spans="1:14" x14ac:dyDescent="0.3">
      <c r="A280" s="17">
        <v>2026</v>
      </c>
      <c r="B280" s="6">
        <v>11</v>
      </c>
      <c r="C280" s="6" t="s">
        <v>4</v>
      </c>
      <c r="D280" s="6" t="s">
        <v>25</v>
      </c>
      <c r="E280" s="2">
        <f t="shared" si="199"/>
        <v>1036913.7885008819</v>
      </c>
      <c r="J280" s="3">
        <f t="shared" si="200"/>
        <v>1</v>
      </c>
      <c r="N280" s="11"/>
    </row>
    <row r="281" spans="1:14" x14ac:dyDescent="0.3">
      <c r="A281" s="17">
        <v>2026</v>
      </c>
      <c r="B281" s="6">
        <v>11</v>
      </c>
      <c r="C281" s="6" t="s">
        <v>4</v>
      </c>
      <c r="D281" s="6" t="s">
        <v>26</v>
      </c>
      <c r="E281" s="2">
        <f t="shared" si="199"/>
        <v>908850.28590241051</v>
      </c>
      <c r="J281" s="3">
        <f t="shared" ref="J281" si="201">J283</f>
        <v>1</v>
      </c>
      <c r="N281" s="11"/>
    </row>
    <row r="282" spans="1:14" x14ac:dyDescent="0.3">
      <c r="A282" s="17">
        <v>2026</v>
      </c>
      <c r="B282" s="6">
        <v>11</v>
      </c>
      <c r="C282" s="6" t="s">
        <v>4</v>
      </c>
      <c r="D282" s="6" t="s">
        <v>27</v>
      </c>
      <c r="E282" s="4"/>
      <c r="J282" s="5"/>
      <c r="N282" s="11"/>
    </row>
    <row r="283" spans="1:14" x14ac:dyDescent="0.3">
      <c r="A283" s="17">
        <v>2026</v>
      </c>
      <c r="B283" s="6">
        <v>11</v>
      </c>
      <c r="C283" s="6" t="s">
        <v>4</v>
      </c>
      <c r="D283" s="6" t="s">
        <v>28</v>
      </c>
      <c r="E283" s="2">
        <f t="shared" ref="E283" si="202">H283</f>
        <v>851555.5555555555</v>
      </c>
      <c r="H283" s="29">
        <f t="shared" ref="H283" si="203">N283/M283</f>
        <v>851555.5555555555</v>
      </c>
      <c r="J283" s="3">
        <f t="shared" ref="J283" si="204">H283/E265</f>
        <v>1</v>
      </c>
      <c r="M283" s="19">
        <v>30</v>
      </c>
      <c r="N283" s="20">
        <v>25546666.666666664</v>
      </c>
    </row>
    <row r="284" spans="1:14" x14ac:dyDescent="0.3">
      <c r="A284" s="17">
        <v>2026</v>
      </c>
      <c r="B284" s="6">
        <v>11</v>
      </c>
      <c r="C284" s="6" t="s">
        <v>9</v>
      </c>
      <c r="D284" s="6" t="s">
        <v>23</v>
      </c>
      <c r="E284" s="4"/>
      <c r="J284" s="5"/>
      <c r="N284" s="11"/>
    </row>
    <row r="285" spans="1:14" x14ac:dyDescent="0.3">
      <c r="A285" s="17">
        <v>2026</v>
      </c>
      <c r="B285" s="6">
        <v>11</v>
      </c>
      <c r="C285" s="6" t="s">
        <v>9</v>
      </c>
      <c r="D285" s="6" t="s">
        <v>24</v>
      </c>
      <c r="E285" s="2">
        <f t="shared" ref="E285:E287" si="205">E267*J285</f>
        <v>334167.14043288556</v>
      </c>
      <c r="J285" s="3">
        <f t="shared" ref="J285:J286" si="206">J286</f>
        <v>0.99999999999999989</v>
      </c>
      <c r="N285" s="11"/>
    </row>
    <row r="286" spans="1:14" x14ac:dyDescent="0.3">
      <c r="A286" s="17">
        <v>2026</v>
      </c>
      <c r="B286" s="6">
        <v>11</v>
      </c>
      <c r="C286" s="6" t="s">
        <v>9</v>
      </c>
      <c r="D286" s="6" t="s">
        <v>25</v>
      </c>
      <c r="E286" s="2">
        <f t="shared" si="205"/>
        <v>334167.14043288556</v>
      </c>
      <c r="J286" s="3">
        <f t="shared" si="206"/>
        <v>0.99999999999999989</v>
      </c>
      <c r="N286" s="11"/>
    </row>
    <row r="287" spans="1:14" x14ac:dyDescent="0.3">
      <c r="A287" s="17">
        <v>2026</v>
      </c>
      <c r="B287" s="6">
        <v>11</v>
      </c>
      <c r="C287" s="6" t="s">
        <v>9</v>
      </c>
      <c r="D287" s="6" t="s">
        <v>26</v>
      </c>
      <c r="E287" s="2">
        <f t="shared" si="205"/>
        <v>212197.79709580788</v>
      </c>
      <c r="I287" s="35">
        <f t="shared" ref="I287" si="207">SUM(H277:H289)</f>
        <v>1182615.365079365</v>
      </c>
      <c r="J287" s="3">
        <f t="shared" ref="J287" si="208">J289</f>
        <v>0.99999999999999989</v>
      </c>
      <c r="N287" s="11"/>
    </row>
    <row r="288" spans="1:14" x14ac:dyDescent="0.3">
      <c r="A288" s="17">
        <v>2026</v>
      </c>
      <c r="B288" s="6">
        <v>11</v>
      </c>
      <c r="C288" s="6" t="s">
        <v>9</v>
      </c>
      <c r="D288" s="6" t="s">
        <v>27</v>
      </c>
      <c r="E288" s="4"/>
      <c r="J288" s="5"/>
      <c r="N288" s="11"/>
    </row>
    <row r="289" spans="1:14" ht="17.25" thickBot="1" x14ac:dyDescent="0.35">
      <c r="A289" s="18">
        <v>2026</v>
      </c>
      <c r="B289" s="15">
        <v>11</v>
      </c>
      <c r="C289" s="15" t="s">
        <v>9</v>
      </c>
      <c r="D289" s="15" t="s">
        <v>28</v>
      </c>
      <c r="E289" s="13">
        <f t="shared" ref="E289" si="209">H289</f>
        <v>182912.50793650793</v>
      </c>
      <c r="F289" s="12"/>
      <c r="G289" s="12"/>
      <c r="H289" s="30">
        <f t="shared" ref="H289" si="210">N289/M289</f>
        <v>182912.50793650793</v>
      </c>
      <c r="I289" s="34">
        <f t="shared" ref="I289" si="211">SUM(H277:H289)*M289</f>
        <v>35478460.952380948</v>
      </c>
      <c r="J289" s="14">
        <f t="shared" ref="J289" si="212">H289/E271</f>
        <v>0.99999999999999989</v>
      </c>
      <c r="K289" s="12"/>
      <c r="L289" s="12"/>
      <c r="M289" s="21">
        <v>30</v>
      </c>
      <c r="N289" s="20">
        <v>5487375.2380952379</v>
      </c>
    </row>
    <row r="290" spans="1:14" x14ac:dyDescent="0.3">
      <c r="A290" s="16">
        <v>2026</v>
      </c>
      <c r="B290" s="9">
        <v>12</v>
      </c>
      <c r="C290" s="9" t="s">
        <v>2</v>
      </c>
      <c r="D290" s="9" t="s">
        <v>23</v>
      </c>
      <c r="E290" s="8"/>
      <c r="F290" s="7"/>
      <c r="G290" s="7"/>
      <c r="H290" s="28"/>
      <c r="I290" s="33"/>
      <c r="J290" s="7"/>
      <c r="K290" s="7"/>
      <c r="L290" s="7"/>
      <c r="M290" s="9" t="s">
        <v>14</v>
      </c>
      <c r="N290" s="10" t="s">
        <v>15</v>
      </c>
    </row>
    <row r="291" spans="1:14" x14ac:dyDescent="0.3">
      <c r="A291" s="17">
        <v>2026</v>
      </c>
      <c r="B291" s="6">
        <v>12</v>
      </c>
      <c r="C291" s="6" t="s">
        <v>2</v>
      </c>
      <c r="D291" s="6" t="s">
        <v>24</v>
      </c>
      <c r="E291" s="2">
        <f t="shared" ref="E291:E293" si="213">E273*J291</f>
        <v>258978.92063492074</v>
      </c>
      <c r="J291" s="3">
        <f t="shared" ref="J291:J292" si="214">J292</f>
        <v>1</v>
      </c>
      <c r="N291" s="11"/>
    </row>
    <row r="292" spans="1:14" x14ac:dyDescent="0.3">
      <c r="A292" s="17">
        <v>2026</v>
      </c>
      <c r="B292" s="6">
        <v>12</v>
      </c>
      <c r="C292" s="6" t="s">
        <v>2</v>
      </c>
      <c r="D292" s="6" t="s">
        <v>25</v>
      </c>
      <c r="E292" s="2">
        <f t="shared" si="213"/>
        <v>258978.92063492074</v>
      </c>
      <c r="J292" s="3">
        <f t="shared" si="214"/>
        <v>1</v>
      </c>
      <c r="N292" s="11"/>
    </row>
    <row r="293" spans="1:14" x14ac:dyDescent="0.3">
      <c r="A293" s="17">
        <v>2026</v>
      </c>
      <c r="B293" s="6">
        <v>12</v>
      </c>
      <c r="C293" s="6" t="s">
        <v>2</v>
      </c>
      <c r="D293" s="6" t="s">
        <v>26</v>
      </c>
      <c r="E293" s="2">
        <f t="shared" si="213"/>
        <v>155492.06349206358</v>
      </c>
      <c r="J293" s="3">
        <f t="shared" ref="J293" si="215">J295</f>
        <v>1</v>
      </c>
      <c r="N293" s="11"/>
    </row>
    <row r="294" spans="1:14" x14ac:dyDescent="0.3">
      <c r="A294" s="17">
        <v>2026</v>
      </c>
      <c r="B294" s="6">
        <v>12</v>
      </c>
      <c r="C294" s="6" t="s">
        <v>2</v>
      </c>
      <c r="D294" s="6" t="s">
        <v>27</v>
      </c>
      <c r="E294" s="4"/>
      <c r="J294" s="5"/>
      <c r="N294" s="11"/>
    </row>
    <row r="295" spans="1:14" x14ac:dyDescent="0.3">
      <c r="A295" s="17">
        <v>2026</v>
      </c>
      <c r="B295" s="6">
        <v>12</v>
      </c>
      <c r="C295" s="6" t="s">
        <v>2</v>
      </c>
      <c r="D295" s="6" t="s">
        <v>28</v>
      </c>
      <c r="E295" s="2">
        <f t="shared" ref="E295" si="216">H295</f>
        <v>148147.3015873016</v>
      </c>
      <c r="H295" s="29">
        <f t="shared" ref="H295" si="217">N295/M295</f>
        <v>148147.3015873016</v>
      </c>
      <c r="J295" s="3">
        <f t="shared" ref="J295" si="218">H295/E277</f>
        <v>1</v>
      </c>
      <c r="M295" s="31">
        <v>20</v>
      </c>
      <c r="N295" s="20">
        <v>2962946.0317460317</v>
      </c>
    </row>
    <row r="296" spans="1:14" x14ac:dyDescent="0.3">
      <c r="A296" s="17">
        <v>2026</v>
      </c>
      <c r="B296" s="6">
        <v>12</v>
      </c>
      <c r="C296" s="6" t="s">
        <v>4</v>
      </c>
      <c r="D296" s="6" t="s">
        <v>23</v>
      </c>
      <c r="E296" s="2"/>
      <c r="J296" s="5"/>
      <c r="N296" s="11"/>
    </row>
    <row r="297" spans="1:14" x14ac:dyDescent="0.3">
      <c r="A297" s="17">
        <v>2026</v>
      </c>
      <c r="B297" s="6">
        <v>12</v>
      </c>
      <c r="C297" s="6" t="s">
        <v>4</v>
      </c>
      <c r="D297" s="6" t="s">
        <v>24</v>
      </c>
      <c r="E297" s="2">
        <f t="shared" ref="E297:E299" si="219">E279*J297</f>
        <v>1036913.7885008821</v>
      </c>
      <c r="J297" s="3">
        <f t="shared" ref="J297:J298" si="220">J298</f>
        <v>1.0000000000000002</v>
      </c>
      <c r="N297" s="11"/>
    </row>
    <row r="298" spans="1:14" x14ac:dyDescent="0.3">
      <c r="A298" s="17">
        <v>2026</v>
      </c>
      <c r="B298" s="6">
        <v>12</v>
      </c>
      <c r="C298" s="6" t="s">
        <v>4</v>
      </c>
      <c r="D298" s="6" t="s">
        <v>25</v>
      </c>
      <c r="E298" s="2">
        <f t="shared" si="219"/>
        <v>1036913.7885008821</v>
      </c>
      <c r="J298" s="3">
        <f t="shared" si="220"/>
        <v>1.0000000000000002</v>
      </c>
      <c r="N298" s="11"/>
    </row>
    <row r="299" spans="1:14" x14ac:dyDescent="0.3">
      <c r="A299" s="17">
        <v>2026</v>
      </c>
      <c r="B299" s="6">
        <v>12</v>
      </c>
      <c r="C299" s="6" t="s">
        <v>4</v>
      </c>
      <c r="D299" s="6" t="s">
        <v>26</v>
      </c>
      <c r="E299" s="2">
        <f t="shared" si="219"/>
        <v>908850.28590241075</v>
      </c>
      <c r="J299" s="3">
        <f t="shared" ref="J299" si="221">J301</f>
        <v>1.0000000000000002</v>
      </c>
      <c r="N299" s="11"/>
    </row>
    <row r="300" spans="1:14" x14ac:dyDescent="0.3">
      <c r="A300" s="17">
        <v>2026</v>
      </c>
      <c r="B300" s="6">
        <v>12</v>
      </c>
      <c r="C300" s="6" t="s">
        <v>4</v>
      </c>
      <c r="D300" s="6" t="s">
        <v>27</v>
      </c>
      <c r="E300" s="4"/>
      <c r="J300" s="5"/>
      <c r="N300" s="11"/>
    </row>
    <row r="301" spans="1:14" x14ac:dyDescent="0.3">
      <c r="A301" s="17">
        <v>2026</v>
      </c>
      <c r="B301" s="6">
        <v>12</v>
      </c>
      <c r="C301" s="6" t="s">
        <v>4</v>
      </c>
      <c r="D301" s="6" t="s">
        <v>28</v>
      </c>
      <c r="E301" s="2">
        <f t="shared" ref="E301" si="222">H301</f>
        <v>851555.55555555562</v>
      </c>
      <c r="H301" s="29">
        <f t="shared" ref="H301" si="223">N301/M301</f>
        <v>851555.55555555562</v>
      </c>
      <c r="J301" s="3">
        <f t="shared" ref="J301" si="224">H301/E283</f>
        <v>1.0000000000000002</v>
      </c>
      <c r="M301" s="19">
        <v>20</v>
      </c>
      <c r="N301" s="20">
        <v>17031111.111111112</v>
      </c>
    </row>
    <row r="302" spans="1:14" x14ac:dyDescent="0.3">
      <c r="A302" s="17">
        <v>2026</v>
      </c>
      <c r="B302" s="6">
        <v>12</v>
      </c>
      <c r="C302" s="6" t="s">
        <v>9</v>
      </c>
      <c r="D302" s="6" t="s">
        <v>23</v>
      </c>
      <c r="E302" s="4"/>
      <c r="J302" s="5"/>
      <c r="N302" s="11"/>
    </row>
    <row r="303" spans="1:14" x14ac:dyDescent="0.3">
      <c r="A303" s="17">
        <v>2026</v>
      </c>
      <c r="B303" s="6">
        <v>12</v>
      </c>
      <c r="C303" s="6" t="s">
        <v>9</v>
      </c>
      <c r="D303" s="6" t="s">
        <v>24</v>
      </c>
      <c r="E303" s="2">
        <f t="shared" ref="E303:E305" si="225">E285*J303</f>
        <v>334167.14043288556</v>
      </c>
      <c r="J303" s="3">
        <f t="shared" ref="J303:J304" si="226">J304</f>
        <v>1</v>
      </c>
      <c r="N303" s="11"/>
    </row>
    <row r="304" spans="1:14" x14ac:dyDescent="0.3">
      <c r="A304" s="17">
        <v>2026</v>
      </c>
      <c r="B304" s="6">
        <v>12</v>
      </c>
      <c r="C304" s="6" t="s">
        <v>9</v>
      </c>
      <c r="D304" s="6" t="s">
        <v>25</v>
      </c>
      <c r="E304" s="2">
        <f t="shared" si="225"/>
        <v>334167.14043288556</v>
      </c>
      <c r="J304" s="3">
        <f t="shared" si="226"/>
        <v>1</v>
      </c>
      <c r="N304" s="11"/>
    </row>
    <row r="305" spans="1:14" x14ac:dyDescent="0.3">
      <c r="A305" s="17">
        <v>2026</v>
      </c>
      <c r="B305" s="6">
        <v>12</v>
      </c>
      <c r="C305" s="6" t="s">
        <v>9</v>
      </c>
      <c r="D305" s="6" t="s">
        <v>26</v>
      </c>
      <c r="E305" s="2">
        <f t="shared" si="225"/>
        <v>212197.79709580788</v>
      </c>
      <c r="I305" s="35">
        <f t="shared" ref="I305" si="227">SUM(H295:H307)</f>
        <v>1182615.3650793652</v>
      </c>
      <c r="J305" s="3">
        <f t="shared" ref="J305" si="228">J307</f>
        <v>1</v>
      </c>
      <c r="N305" s="11"/>
    </row>
    <row r="306" spans="1:14" x14ac:dyDescent="0.3">
      <c r="A306" s="17">
        <v>2026</v>
      </c>
      <c r="B306" s="6">
        <v>12</v>
      </c>
      <c r="C306" s="6" t="s">
        <v>9</v>
      </c>
      <c r="D306" s="6" t="s">
        <v>27</v>
      </c>
      <c r="E306" s="4"/>
      <c r="J306" s="5"/>
      <c r="N306" s="11"/>
    </row>
    <row r="307" spans="1:14" ht="17.25" thickBot="1" x14ac:dyDescent="0.35">
      <c r="A307" s="18">
        <v>2026</v>
      </c>
      <c r="B307" s="15">
        <v>12</v>
      </c>
      <c r="C307" s="15" t="s">
        <v>9</v>
      </c>
      <c r="D307" s="15" t="s">
        <v>28</v>
      </c>
      <c r="E307" s="13">
        <f t="shared" ref="E307" si="229">H307</f>
        <v>182912.50793650793</v>
      </c>
      <c r="F307" s="12"/>
      <c r="G307" s="12"/>
      <c r="H307" s="30">
        <f t="shared" ref="H307" si="230">N307/M307</f>
        <v>182912.50793650793</v>
      </c>
      <c r="I307" s="34">
        <f t="shared" ref="I307" si="231">SUM(H295:H307)*M307</f>
        <v>23652307.301587306</v>
      </c>
      <c r="J307" s="14">
        <f t="shared" ref="J307" si="232">H307/E289</f>
        <v>1</v>
      </c>
      <c r="K307" s="12"/>
      <c r="L307" s="12"/>
      <c r="M307" s="21">
        <v>20</v>
      </c>
      <c r="N307" s="20">
        <v>3658250.1587301586</v>
      </c>
    </row>
  </sheetData>
  <autoFilter ref="C1:E27" xr:uid="{00000000-0001-0000-0000-000000000000}">
    <sortState xmlns:xlrd2="http://schemas.microsoft.com/office/spreadsheetml/2017/richdata2" ref="C2:E27">
      <sortCondition ref="C1:C2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MZ2706</cp:lastModifiedBy>
  <dcterms:created xsi:type="dcterms:W3CDTF">2015-06-05T18:19:34Z</dcterms:created>
  <dcterms:modified xsi:type="dcterms:W3CDTF">2026-01-05T01:25:42Z</dcterms:modified>
</cp:coreProperties>
</file>