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09.AI_Columbus_2025\2.AI\01.Production_Dashboard - Claude\"/>
    </mc:Choice>
  </mc:AlternateContent>
  <xr:revisionPtr revIDLastSave="0" documentId="13_ncr:1_{C93C8EA8-0BF7-42C3-9108-573FE6343F29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2025년" sheetId="1" r:id="rId1"/>
  </sheets>
  <definedNames>
    <definedName name="_xlnm._FilterDatabase" localSheetId="0" hidden="1">'2025년'!$C$1:$E$27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1" l="1"/>
  <c r="I71" i="1"/>
  <c r="I53" i="1"/>
  <c r="I91" i="1" l="1"/>
  <c r="M85" i="1"/>
  <c r="M91" i="1" s="1"/>
  <c r="H91" i="1" s="1"/>
  <c r="M67" i="1"/>
  <c r="M73" i="1" s="1"/>
  <c r="H73" i="1" s="1"/>
  <c r="E73" i="1" s="1"/>
  <c r="M49" i="1"/>
  <c r="M55" i="1" s="1"/>
  <c r="H55" i="1" s="1"/>
  <c r="J55" i="1" s="1"/>
  <c r="J53" i="1" s="1"/>
  <c r="J52" i="1" s="1"/>
  <c r="J51" i="1" s="1"/>
  <c r="E51" i="1" s="1"/>
  <c r="T47" i="1"/>
  <c r="T46" i="1"/>
  <c r="T45" i="1"/>
  <c r="H85" i="1"/>
  <c r="E85" i="1"/>
  <c r="H79" i="1"/>
  <c r="H67" i="1"/>
  <c r="E67" i="1" s="1"/>
  <c r="H61" i="1"/>
  <c r="E61" i="1"/>
  <c r="H43" i="1"/>
  <c r="J43" i="1" s="1"/>
  <c r="J41" i="1" s="1"/>
  <c r="H49" i="1"/>
  <c r="J49" i="1" s="1"/>
  <c r="J47" i="1" s="1"/>
  <c r="I73" i="1" l="1"/>
  <c r="J79" i="1"/>
  <c r="J77" i="1" s="1"/>
  <c r="J76" i="1" s="1"/>
  <c r="J75" i="1" s="1"/>
  <c r="I55" i="1"/>
  <c r="E43" i="1"/>
  <c r="J61" i="1" s="1"/>
  <c r="J59" i="1" s="1"/>
  <c r="J58" i="1" s="1"/>
  <c r="J57" i="1" s="1"/>
  <c r="J91" i="1"/>
  <c r="J89" i="1" s="1"/>
  <c r="J88" i="1" s="1"/>
  <c r="J87" i="1" s="1"/>
  <c r="J85" i="1"/>
  <c r="J83" i="1" s="1"/>
  <c r="J82" i="1" s="1"/>
  <c r="J81" i="1" s="1"/>
  <c r="E79" i="1"/>
  <c r="E91" i="1"/>
  <c r="E47" i="1"/>
  <c r="J46" i="1"/>
  <c r="E49" i="1"/>
  <c r="J67" i="1" s="1"/>
  <c r="J65" i="1" s="1"/>
  <c r="J64" i="1" s="1"/>
  <c r="J63" i="1" s="1"/>
  <c r="E52" i="1"/>
  <c r="E53" i="1"/>
  <c r="E55" i="1"/>
  <c r="J73" i="1" s="1"/>
  <c r="J71" i="1" s="1"/>
  <c r="J70" i="1" s="1"/>
  <c r="J69" i="1" s="1"/>
  <c r="E69" i="1" s="1"/>
  <c r="E87" i="1" s="1"/>
  <c r="E41" i="1"/>
  <c r="J40" i="1"/>
  <c r="E59" i="1" l="1"/>
  <c r="E77" i="1" s="1"/>
  <c r="E71" i="1"/>
  <c r="E89" i="1" s="1"/>
  <c r="E70" i="1"/>
  <c r="E88" i="1" s="1"/>
  <c r="E46" i="1"/>
  <c r="E64" i="1" s="1"/>
  <c r="E82" i="1" s="1"/>
  <c r="J45" i="1"/>
  <c r="E45" i="1" s="1"/>
  <c r="E63" i="1" s="1"/>
  <c r="E81" i="1" s="1"/>
  <c r="E65" i="1"/>
  <c r="E83" i="1" s="1"/>
  <c r="E40" i="1"/>
  <c r="E58" i="1" s="1"/>
  <c r="E76" i="1" s="1"/>
  <c r="J39" i="1"/>
  <c r="E39" i="1" s="1"/>
  <c r="E57" i="1" s="1"/>
  <c r="E75" i="1" s="1"/>
</calcChain>
</file>

<file path=xl/sharedStrings.xml><?xml version="1.0" encoding="utf-8"?>
<sst xmlns="http://schemas.openxmlformats.org/spreadsheetml/2006/main" count="198" uniqueCount="23">
  <si>
    <t>공장</t>
  </si>
  <si>
    <t>공정코드</t>
  </si>
  <si>
    <t>A관(1공장)</t>
  </si>
  <si>
    <t>[20] 분리</t>
  </si>
  <si>
    <t>C관(2공장)</t>
  </si>
  <si>
    <t>[45] 하이드레이션/전면검사</t>
  </si>
  <si>
    <t>[55] 접착/ 멸균</t>
  </si>
  <si>
    <t>[80] 누수/규격검사</t>
  </si>
  <si>
    <t>[10] 사출조립</t>
  </si>
  <si>
    <t>S관(3공장)</t>
  </si>
  <si>
    <t>[00] 배합</t>
  </si>
  <si>
    <t>일일_생산목표량</t>
  </si>
  <si>
    <t>년</t>
    <phoneticPr fontId="1" type="noConversion"/>
  </si>
  <si>
    <t>월</t>
    <phoneticPr fontId="1" type="noConversion"/>
  </si>
  <si>
    <t>날짜</t>
    <phoneticPr fontId="1" type="noConversion"/>
  </si>
  <si>
    <t>누수규격기준 월 생산목표량</t>
    <phoneticPr fontId="1" type="noConversion"/>
  </si>
  <si>
    <t>일당 생산 목표량</t>
    <phoneticPr fontId="1" type="noConversion"/>
  </si>
  <si>
    <t>A관(1공장)</t>
    <phoneticPr fontId="1" type="noConversion"/>
  </si>
  <si>
    <t>3분기</t>
    <phoneticPr fontId="1" type="noConversion"/>
  </si>
  <si>
    <t>변화율(%)</t>
    <phoneticPr fontId="1" type="noConversion"/>
  </si>
  <si>
    <t>4분기</t>
    <phoneticPr fontId="1" type="noConversion"/>
  </si>
  <si>
    <t>C관(2공장)</t>
    <phoneticPr fontId="1" type="noConversion"/>
  </si>
  <si>
    <t>S관(3공장)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</si>
</sst>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_-;\-* #,##0_-;_-* &quot;-&quot;??_-;_-@_-"/>
  </numFmts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41" fontId="0" fillId="0" borderId="0" xfId="1" applyFont="1" applyAlignment="1"/>
    <xf numFmtId="41" fontId="3" fillId="0" borderId="0" xfId="1" applyFont="1" applyBorder="1" applyAlignment="1"/>
    <xf numFmtId="2" fontId="3" fillId="0" borderId="0" xfId="0" applyNumberFormat="1" applyFont="1"/>
    <xf numFmtId="41" fontId="0" fillId="0" borderId="0" xfId="1" applyFont="1" applyBorder="1" applyAlignment="1"/>
    <xf numFmtId="2" fontId="0" fillId="0" borderId="0" xfId="0" applyNumberFormat="1"/>
    <xf numFmtId="0" fontId="3" fillId="0" borderId="0" xfId="0" applyFont="1"/>
    <xf numFmtId="0" fontId="0" fillId="0" borderId="2" xfId="0" applyBorder="1"/>
    <xf numFmtId="41" fontId="3" fillId="0" borderId="2" xfId="1" applyFont="1" applyBorder="1" applyAlignment="1"/>
    <xf numFmtId="0" fontId="3" fillId="0" borderId="2" xfId="0" applyFont="1" applyBorder="1"/>
    <xf numFmtId="0" fontId="3" fillId="0" borderId="3" xfId="0" applyFont="1" applyBorder="1"/>
    <xf numFmtId="0" fontId="0" fillId="0" borderId="5" xfId="0" applyBorder="1"/>
    <xf numFmtId="0" fontId="0" fillId="0" borderId="7" xfId="0" applyBorder="1"/>
    <xf numFmtId="41" fontId="3" fillId="0" borderId="7" xfId="1" applyFont="1" applyBorder="1" applyAlignment="1"/>
    <xf numFmtId="2" fontId="3" fillId="0" borderId="7" xfId="0" applyNumberFormat="1" applyFont="1" applyBorder="1"/>
    <xf numFmtId="0" fontId="3" fillId="0" borderId="7" xfId="0" applyFont="1" applyBorder="1"/>
    <xf numFmtId="0" fontId="3" fillId="0" borderId="1" xfId="0" applyFont="1" applyBorder="1"/>
    <xf numFmtId="0" fontId="3" fillId="0" borderId="4" xfId="0" applyFont="1" applyBorder="1"/>
    <xf numFmtId="0" fontId="3" fillId="0" borderId="6" xfId="0" applyFont="1" applyBorder="1"/>
    <xf numFmtId="0" fontId="3" fillId="2" borderId="0" xfId="0" applyFont="1" applyFill="1"/>
    <xf numFmtId="41" fontId="3" fillId="2" borderId="5" xfId="1" applyFont="1" applyFill="1" applyBorder="1" applyAlignment="1"/>
    <xf numFmtId="0" fontId="3" fillId="2" borderId="7" xfId="0" applyFont="1" applyFill="1" applyBorder="1"/>
    <xf numFmtId="41" fontId="3" fillId="2" borderId="8" xfId="1" applyFont="1" applyFill="1" applyBorder="1" applyAlignment="1"/>
    <xf numFmtId="0" fontId="0" fillId="0" borderId="9" xfId="0" applyBorder="1"/>
    <xf numFmtId="0" fontId="3" fillId="0" borderId="9" xfId="0" applyFont="1" applyBorder="1"/>
    <xf numFmtId="41" fontId="3" fillId="0" borderId="9" xfId="1" applyFont="1" applyBorder="1" applyAlignment="1"/>
    <xf numFmtId="9" fontId="3" fillId="0" borderId="9" xfId="2" applyFont="1" applyBorder="1" applyAlignment="1"/>
    <xf numFmtId="0" fontId="0" fillId="2" borderId="0" xfId="0" applyFill="1"/>
    <xf numFmtId="0" fontId="0" fillId="2" borderId="2" xfId="0" applyFill="1" applyBorder="1"/>
    <xf numFmtId="41" fontId="3" fillId="2" borderId="0" xfId="1" applyFont="1" applyFill="1" applyBorder="1" applyAlignment="1"/>
    <xf numFmtId="41" fontId="3" fillId="2" borderId="7" xfId="1" applyFont="1" applyFill="1" applyBorder="1" applyAlignment="1"/>
    <xf numFmtId="0" fontId="4" fillId="3" borderId="0" xfId="0" applyFont="1" applyFill="1"/>
    <xf numFmtId="176" fontId="0" fillId="0" borderId="0" xfId="0" applyNumberFormat="1"/>
    <xf numFmtId="176" fontId="0" fillId="0" borderId="2" xfId="0" applyNumberFormat="1" applyBorder="1"/>
    <xf numFmtId="176" fontId="3" fillId="0" borderId="7" xfId="0" applyNumberFormat="1" applyFont="1" applyBorder="1"/>
    <xf numFmtId="176" fontId="3" fillId="0" borderId="0" xfId="0" applyNumberFormat="1" applyFo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1"/>
  <sheetViews>
    <sheetView tabSelected="1" topLeftCell="A33" workbookViewId="0">
      <selection activeCell="H63" sqref="H63"/>
    </sheetView>
  </sheetViews>
  <sheetFormatPr defaultRowHeight="16.5" x14ac:dyDescent="0.3"/>
  <cols>
    <col min="3" max="3" width="10.625" bestFit="1" customWidth="1"/>
    <col min="4" max="4" width="26.5" bestFit="1" customWidth="1"/>
    <col min="5" max="5" width="16" style="1" bestFit="1" customWidth="1"/>
    <col min="8" max="8" width="19.25" style="27" customWidth="1"/>
    <col min="9" max="9" width="15.75" style="32" customWidth="1"/>
    <col min="10" max="10" width="9.5" bestFit="1" customWidth="1"/>
    <col min="11" max="11" width="15.125" customWidth="1"/>
    <col min="14" max="14" width="25.625" customWidth="1"/>
    <col min="15" max="20" width="10.625" customWidth="1"/>
  </cols>
  <sheetData>
    <row r="1" spans="1:5" x14ac:dyDescent="0.3">
      <c r="A1" t="s">
        <v>12</v>
      </c>
      <c r="B1" t="s">
        <v>13</v>
      </c>
      <c r="C1" t="s">
        <v>0</v>
      </c>
      <c r="D1" t="s">
        <v>1</v>
      </c>
      <c r="E1" s="1" t="s">
        <v>11</v>
      </c>
    </row>
    <row r="2" spans="1:5" x14ac:dyDescent="0.3">
      <c r="A2">
        <v>2025</v>
      </c>
      <c r="B2">
        <v>7</v>
      </c>
      <c r="C2" t="s">
        <v>2</v>
      </c>
      <c r="D2" t="s">
        <v>10</v>
      </c>
    </row>
    <row r="3" spans="1:5" x14ac:dyDescent="0.3">
      <c r="A3">
        <v>2025</v>
      </c>
      <c r="B3">
        <v>7</v>
      </c>
      <c r="C3" t="s">
        <v>2</v>
      </c>
      <c r="D3" t="s">
        <v>8</v>
      </c>
      <c r="E3" s="1">
        <v>197367</v>
      </c>
    </row>
    <row r="4" spans="1:5" x14ac:dyDescent="0.3">
      <c r="A4">
        <v>2025</v>
      </c>
      <c r="B4">
        <v>7</v>
      </c>
      <c r="C4" t="s">
        <v>2</v>
      </c>
      <c r="D4" t="s">
        <v>3</v>
      </c>
      <c r="E4" s="1">
        <v>197367</v>
      </c>
    </row>
    <row r="5" spans="1:5" x14ac:dyDescent="0.3">
      <c r="A5">
        <v>2025</v>
      </c>
      <c r="B5">
        <v>7</v>
      </c>
      <c r="C5" t="s">
        <v>2</v>
      </c>
      <c r="D5" t="s">
        <v>5</v>
      </c>
      <c r="E5" s="1">
        <v>118500</v>
      </c>
    </row>
    <row r="6" spans="1:5" x14ac:dyDescent="0.3">
      <c r="A6">
        <v>2025</v>
      </c>
      <c r="B6">
        <v>7</v>
      </c>
      <c r="C6" t="s">
        <v>2</v>
      </c>
      <c r="D6" t="s">
        <v>6</v>
      </c>
    </row>
    <row r="7" spans="1:5" x14ac:dyDescent="0.3">
      <c r="A7">
        <v>2025</v>
      </c>
      <c r="B7">
        <v>7</v>
      </c>
      <c r="C7" t="s">
        <v>2</v>
      </c>
      <c r="D7" t="s">
        <v>7</v>
      </c>
      <c r="E7" s="1">
        <v>112902.58064516129</v>
      </c>
    </row>
    <row r="8" spans="1:5" x14ac:dyDescent="0.3">
      <c r="A8">
        <v>2025</v>
      </c>
      <c r="B8">
        <v>7</v>
      </c>
      <c r="C8" t="s">
        <v>4</v>
      </c>
      <c r="D8" t="s">
        <v>10</v>
      </c>
    </row>
    <row r="9" spans="1:5" x14ac:dyDescent="0.3">
      <c r="A9">
        <v>2025</v>
      </c>
      <c r="B9">
        <v>7</v>
      </c>
      <c r="C9" t="s">
        <v>4</v>
      </c>
      <c r="D9" t="s">
        <v>8</v>
      </c>
      <c r="E9" s="1">
        <v>742386</v>
      </c>
    </row>
    <row r="10" spans="1:5" x14ac:dyDescent="0.3">
      <c r="A10">
        <v>2025</v>
      </c>
      <c r="B10">
        <v>7</v>
      </c>
      <c r="C10" t="s">
        <v>4</v>
      </c>
      <c r="D10" t="s">
        <v>3</v>
      </c>
      <c r="E10" s="1">
        <v>742386</v>
      </c>
    </row>
    <row r="11" spans="1:5" x14ac:dyDescent="0.3">
      <c r="A11">
        <v>2025</v>
      </c>
      <c r="B11">
        <v>7</v>
      </c>
      <c r="C11" t="s">
        <v>4</v>
      </c>
      <c r="D11" t="s">
        <v>5</v>
      </c>
      <c r="E11" s="1">
        <v>650698</v>
      </c>
    </row>
    <row r="12" spans="1:5" x14ac:dyDescent="0.3">
      <c r="A12">
        <v>2025</v>
      </c>
      <c r="B12">
        <v>7</v>
      </c>
      <c r="C12" t="s">
        <v>4</v>
      </c>
      <c r="D12" t="s">
        <v>6</v>
      </c>
    </row>
    <row r="13" spans="1:5" x14ac:dyDescent="0.3">
      <c r="A13">
        <v>2025</v>
      </c>
      <c r="B13">
        <v>7</v>
      </c>
      <c r="C13" t="s">
        <v>4</v>
      </c>
      <c r="D13" t="s">
        <v>7</v>
      </c>
      <c r="E13" s="1">
        <v>609677.41935483878</v>
      </c>
    </row>
    <row r="14" spans="1:5" x14ac:dyDescent="0.3">
      <c r="A14">
        <v>2025</v>
      </c>
      <c r="B14">
        <v>7</v>
      </c>
      <c r="C14" t="s">
        <v>9</v>
      </c>
      <c r="D14" t="s">
        <v>10</v>
      </c>
    </row>
    <row r="15" spans="1:5" x14ac:dyDescent="0.3">
      <c r="A15">
        <v>2025</v>
      </c>
      <c r="B15">
        <v>7</v>
      </c>
      <c r="C15" t="s">
        <v>9</v>
      </c>
      <c r="D15" t="s">
        <v>8</v>
      </c>
      <c r="E15" s="1">
        <v>183871</v>
      </c>
    </row>
    <row r="16" spans="1:5" x14ac:dyDescent="0.3">
      <c r="A16">
        <v>2025</v>
      </c>
      <c r="B16">
        <v>7</v>
      </c>
      <c r="C16" t="s">
        <v>9</v>
      </c>
      <c r="D16" t="s">
        <v>3</v>
      </c>
      <c r="E16" s="1">
        <v>183871</v>
      </c>
    </row>
    <row r="17" spans="1:17" x14ac:dyDescent="0.3">
      <c r="A17">
        <v>2025</v>
      </c>
      <c r="B17">
        <v>7</v>
      </c>
      <c r="C17" t="s">
        <v>9</v>
      </c>
      <c r="D17" t="s">
        <v>5</v>
      </c>
      <c r="E17" s="1">
        <v>116759</v>
      </c>
    </row>
    <row r="18" spans="1:17" x14ac:dyDescent="0.3">
      <c r="A18">
        <v>2025</v>
      </c>
      <c r="B18">
        <v>7</v>
      </c>
      <c r="C18" t="s">
        <v>9</v>
      </c>
      <c r="D18" t="s">
        <v>6</v>
      </c>
    </row>
    <row r="19" spans="1:17" x14ac:dyDescent="0.3">
      <c r="A19">
        <v>2025</v>
      </c>
      <c r="B19">
        <v>7</v>
      </c>
      <c r="C19" t="s">
        <v>9</v>
      </c>
      <c r="D19" t="s">
        <v>7</v>
      </c>
      <c r="E19" s="1">
        <v>100645.16129032259</v>
      </c>
    </row>
    <row r="20" spans="1:17" x14ac:dyDescent="0.3">
      <c r="A20">
        <v>2025</v>
      </c>
      <c r="B20">
        <v>8</v>
      </c>
      <c r="C20" t="s">
        <v>2</v>
      </c>
      <c r="D20" t="s">
        <v>10</v>
      </c>
    </row>
    <row r="21" spans="1:17" x14ac:dyDescent="0.3">
      <c r="A21">
        <v>2025</v>
      </c>
      <c r="B21">
        <v>8</v>
      </c>
      <c r="C21" t="s">
        <v>2</v>
      </c>
      <c r="D21" t="s">
        <v>8</v>
      </c>
      <c r="E21" s="1">
        <v>197367</v>
      </c>
      <c r="Q21">
        <v>197367</v>
      </c>
    </row>
    <row r="22" spans="1:17" x14ac:dyDescent="0.3">
      <c r="A22">
        <v>2025</v>
      </c>
      <c r="B22">
        <v>8</v>
      </c>
      <c r="C22" t="s">
        <v>2</v>
      </c>
      <c r="D22" t="s">
        <v>3</v>
      </c>
      <c r="E22" s="1">
        <v>197367</v>
      </c>
    </row>
    <row r="23" spans="1:17" x14ac:dyDescent="0.3">
      <c r="A23">
        <v>2025</v>
      </c>
      <c r="B23">
        <v>8</v>
      </c>
      <c r="C23" t="s">
        <v>2</v>
      </c>
      <c r="D23" t="s">
        <v>5</v>
      </c>
      <c r="E23" s="1">
        <v>118500</v>
      </c>
      <c r="Q23">
        <v>118500</v>
      </c>
    </row>
    <row r="24" spans="1:17" x14ac:dyDescent="0.3">
      <c r="A24">
        <v>2025</v>
      </c>
      <c r="B24">
        <v>8</v>
      </c>
      <c r="C24" t="s">
        <v>2</v>
      </c>
      <c r="D24" t="s">
        <v>6</v>
      </c>
    </row>
    <row r="25" spans="1:17" x14ac:dyDescent="0.3">
      <c r="A25">
        <v>2025</v>
      </c>
      <c r="B25">
        <v>8</v>
      </c>
      <c r="C25" t="s">
        <v>2</v>
      </c>
      <c r="D25" t="s">
        <v>7</v>
      </c>
      <c r="E25" s="1">
        <v>112902.58064516129</v>
      </c>
      <c r="Q25">
        <v>116666</v>
      </c>
    </row>
    <row r="26" spans="1:17" x14ac:dyDescent="0.3">
      <c r="A26">
        <v>2025</v>
      </c>
      <c r="B26">
        <v>8</v>
      </c>
      <c r="C26" t="s">
        <v>4</v>
      </c>
      <c r="D26" t="s">
        <v>10</v>
      </c>
    </row>
    <row r="27" spans="1:17" x14ac:dyDescent="0.3">
      <c r="A27">
        <v>2025</v>
      </c>
      <c r="B27">
        <v>8</v>
      </c>
      <c r="C27" t="s">
        <v>4</v>
      </c>
      <c r="D27" t="s">
        <v>8</v>
      </c>
      <c r="E27" s="1">
        <v>742386</v>
      </c>
      <c r="Q27">
        <v>742386</v>
      </c>
    </row>
    <row r="28" spans="1:17" x14ac:dyDescent="0.3">
      <c r="A28">
        <v>2025</v>
      </c>
      <c r="B28">
        <v>8</v>
      </c>
      <c r="C28" t="s">
        <v>4</v>
      </c>
      <c r="D28" t="s">
        <v>3</v>
      </c>
      <c r="E28" s="1">
        <v>742386</v>
      </c>
    </row>
    <row r="29" spans="1:17" x14ac:dyDescent="0.3">
      <c r="A29">
        <v>2025</v>
      </c>
      <c r="B29">
        <v>8</v>
      </c>
      <c r="C29" t="s">
        <v>4</v>
      </c>
      <c r="D29" t="s">
        <v>5</v>
      </c>
      <c r="E29" s="1">
        <v>650698</v>
      </c>
      <c r="Q29">
        <v>650698</v>
      </c>
    </row>
    <row r="30" spans="1:17" x14ac:dyDescent="0.3">
      <c r="A30">
        <v>2025</v>
      </c>
      <c r="B30">
        <v>8</v>
      </c>
      <c r="C30" t="s">
        <v>4</v>
      </c>
      <c r="D30" t="s">
        <v>6</v>
      </c>
    </row>
    <row r="31" spans="1:17" x14ac:dyDescent="0.3">
      <c r="A31">
        <v>2025</v>
      </c>
      <c r="B31">
        <v>8</v>
      </c>
      <c r="C31" t="s">
        <v>4</v>
      </c>
      <c r="D31" t="s">
        <v>7</v>
      </c>
      <c r="E31" s="1">
        <v>609677.41935483878</v>
      </c>
      <c r="Q31">
        <v>630000</v>
      </c>
    </row>
    <row r="32" spans="1:17" x14ac:dyDescent="0.3">
      <c r="A32">
        <v>2025</v>
      </c>
      <c r="B32">
        <v>8</v>
      </c>
      <c r="C32" t="s">
        <v>9</v>
      </c>
      <c r="D32" t="s">
        <v>10</v>
      </c>
    </row>
    <row r="33" spans="1:20" x14ac:dyDescent="0.3">
      <c r="A33">
        <v>2025</v>
      </c>
      <c r="B33">
        <v>8</v>
      </c>
      <c r="C33" t="s">
        <v>9</v>
      </c>
      <c r="D33" t="s">
        <v>8</v>
      </c>
      <c r="E33" s="1">
        <v>183871</v>
      </c>
      <c r="Q33">
        <v>183871</v>
      </c>
    </row>
    <row r="34" spans="1:20" x14ac:dyDescent="0.3">
      <c r="A34">
        <v>2025</v>
      </c>
      <c r="B34">
        <v>8</v>
      </c>
      <c r="C34" t="s">
        <v>9</v>
      </c>
      <c r="D34" t="s">
        <v>3</v>
      </c>
      <c r="E34" s="1">
        <v>183871</v>
      </c>
    </row>
    <row r="35" spans="1:20" x14ac:dyDescent="0.3">
      <c r="A35">
        <v>2025</v>
      </c>
      <c r="B35">
        <v>8</v>
      </c>
      <c r="C35" t="s">
        <v>9</v>
      </c>
      <c r="D35" t="s">
        <v>5</v>
      </c>
      <c r="E35" s="1">
        <v>116759</v>
      </c>
      <c r="Q35">
        <v>116759</v>
      </c>
    </row>
    <row r="36" spans="1:20" x14ac:dyDescent="0.3">
      <c r="A36">
        <v>2025</v>
      </c>
      <c r="B36">
        <v>8</v>
      </c>
      <c r="C36" t="s">
        <v>9</v>
      </c>
      <c r="D36" t="s">
        <v>6</v>
      </c>
    </row>
    <row r="37" spans="1:20" ht="17.25" thickBot="1" x14ac:dyDescent="0.35">
      <c r="A37">
        <v>2025</v>
      </c>
      <c r="B37">
        <v>8</v>
      </c>
      <c r="C37" t="s">
        <v>9</v>
      </c>
      <c r="D37" t="s">
        <v>7</v>
      </c>
      <c r="E37" s="1">
        <v>100645.16129032259</v>
      </c>
      <c r="Q37">
        <v>104000</v>
      </c>
    </row>
    <row r="38" spans="1:20" x14ac:dyDescent="0.3">
      <c r="A38" s="16">
        <v>2025</v>
      </c>
      <c r="B38" s="9">
        <v>10</v>
      </c>
      <c r="C38" s="9" t="s">
        <v>2</v>
      </c>
      <c r="D38" s="9" t="s">
        <v>10</v>
      </c>
      <c r="E38" s="8"/>
      <c r="F38" s="7"/>
      <c r="G38" s="7"/>
      <c r="H38" s="28"/>
      <c r="I38" s="33"/>
      <c r="J38" s="7"/>
      <c r="K38" s="7"/>
      <c r="L38" s="7"/>
      <c r="M38" s="9" t="s">
        <v>14</v>
      </c>
      <c r="N38" s="10" t="s">
        <v>15</v>
      </c>
    </row>
    <row r="39" spans="1:20" x14ac:dyDescent="0.3">
      <c r="A39" s="17">
        <v>2025</v>
      </c>
      <c r="B39" s="6">
        <v>10</v>
      </c>
      <c r="C39" s="6" t="s">
        <v>2</v>
      </c>
      <c r="D39" s="6" t="s">
        <v>8</v>
      </c>
      <c r="E39" s="2">
        <f>E21*J39</f>
        <v>218513.46428571429</v>
      </c>
      <c r="J39" s="3">
        <f>J40</f>
        <v>1.1071428571428572</v>
      </c>
      <c r="N39" s="11"/>
    </row>
    <row r="40" spans="1:20" x14ac:dyDescent="0.3">
      <c r="A40" s="17">
        <v>2025</v>
      </c>
      <c r="B40" s="6">
        <v>10</v>
      </c>
      <c r="C40" s="6" t="s">
        <v>2</v>
      </c>
      <c r="D40" s="6" t="s">
        <v>3</v>
      </c>
      <c r="E40" s="2">
        <f t="shared" ref="E40:E41" si="0">E22*J40</f>
        <v>218513.46428571429</v>
      </c>
      <c r="J40" s="3">
        <f>J41</f>
        <v>1.1071428571428572</v>
      </c>
      <c r="N40" s="11"/>
    </row>
    <row r="41" spans="1:20" x14ac:dyDescent="0.3">
      <c r="A41" s="17">
        <v>2025</v>
      </c>
      <c r="B41" s="6">
        <v>10</v>
      </c>
      <c r="C41" s="6" t="s">
        <v>2</v>
      </c>
      <c r="D41" s="6" t="s">
        <v>5</v>
      </c>
      <c r="E41" s="2">
        <f t="shared" si="0"/>
        <v>131196.42857142858</v>
      </c>
      <c r="J41" s="3">
        <f>J43</f>
        <v>1.1071428571428572</v>
      </c>
      <c r="N41" s="11"/>
    </row>
    <row r="42" spans="1:20" x14ac:dyDescent="0.3">
      <c r="A42" s="17">
        <v>2025</v>
      </c>
      <c r="B42" s="6">
        <v>10</v>
      </c>
      <c r="C42" s="6" t="s">
        <v>2</v>
      </c>
      <c r="D42" s="6" t="s">
        <v>6</v>
      </c>
      <c r="E42" s="4"/>
      <c r="J42" s="5"/>
      <c r="N42" s="11"/>
    </row>
    <row r="43" spans="1:20" x14ac:dyDescent="0.3">
      <c r="A43" s="17">
        <v>2025</v>
      </c>
      <c r="B43" s="6">
        <v>10</v>
      </c>
      <c r="C43" s="6" t="s">
        <v>2</v>
      </c>
      <c r="D43" s="6" t="s">
        <v>7</v>
      </c>
      <c r="E43" s="2">
        <f>H43</f>
        <v>124999.28571428571</v>
      </c>
      <c r="H43" s="29">
        <f>N43/M43</f>
        <v>124999.28571428571</v>
      </c>
      <c r="J43" s="3">
        <f>H43/E25</f>
        <v>1.1071428571428572</v>
      </c>
      <c r="M43" s="31">
        <v>28</v>
      </c>
      <c r="N43" s="20">
        <v>3499980</v>
      </c>
      <c r="Q43" s="6" t="s">
        <v>16</v>
      </c>
    </row>
    <row r="44" spans="1:20" x14ac:dyDescent="0.3">
      <c r="A44" s="17">
        <v>2025</v>
      </c>
      <c r="B44" s="6">
        <v>10</v>
      </c>
      <c r="C44" s="6" t="s">
        <v>4</v>
      </c>
      <c r="D44" s="6" t="s">
        <v>10</v>
      </c>
      <c r="E44" s="2"/>
      <c r="J44" s="5"/>
      <c r="N44" s="11"/>
      <c r="Q44" s="23"/>
      <c r="R44" s="24" t="s">
        <v>18</v>
      </c>
      <c r="S44" s="24" t="s">
        <v>20</v>
      </c>
      <c r="T44" s="24" t="s">
        <v>19</v>
      </c>
    </row>
    <row r="45" spans="1:20" x14ac:dyDescent="0.3">
      <c r="A45" s="17">
        <v>2025</v>
      </c>
      <c r="B45" s="6">
        <v>10</v>
      </c>
      <c r="C45" s="6" t="s">
        <v>4</v>
      </c>
      <c r="D45" s="6" t="s">
        <v>8</v>
      </c>
      <c r="E45" s="2">
        <f>E27*J45</f>
        <v>863023.72499999986</v>
      </c>
      <c r="J45" s="3">
        <f>J46</f>
        <v>1.1624999999999999</v>
      </c>
      <c r="N45" s="11"/>
      <c r="Q45" s="24" t="s">
        <v>17</v>
      </c>
      <c r="R45" s="25">
        <v>112902.58064516129</v>
      </c>
      <c r="S45" s="25">
        <v>112902.58064516129</v>
      </c>
      <c r="T45" s="26">
        <f>S45/R45</f>
        <v>1</v>
      </c>
    </row>
    <row r="46" spans="1:20" x14ac:dyDescent="0.3">
      <c r="A46" s="17">
        <v>2025</v>
      </c>
      <c r="B46" s="6">
        <v>10</v>
      </c>
      <c r="C46" s="6" t="s">
        <v>4</v>
      </c>
      <c r="D46" s="6" t="s">
        <v>3</v>
      </c>
      <c r="E46" s="2">
        <f t="shared" ref="E46:E47" si="1">E28*J46</f>
        <v>863023.72499999986</v>
      </c>
      <c r="J46" s="3">
        <f>J47</f>
        <v>1.1624999999999999</v>
      </c>
      <c r="N46" s="11"/>
      <c r="Q46" s="24" t="s">
        <v>21</v>
      </c>
      <c r="R46" s="25">
        <v>609677.41935483878</v>
      </c>
      <c r="S46" s="25">
        <v>666580.6451612903</v>
      </c>
      <c r="T46" s="26">
        <f t="shared" ref="T46:T47" si="2">S46/R46</f>
        <v>1.0933333333333333</v>
      </c>
    </row>
    <row r="47" spans="1:20" x14ac:dyDescent="0.3">
      <c r="A47" s="17">
        <v>2025</v>
      </c>
      <c r="B47" s="6">
        <v>10</v>
      </c>
      <c r="C47" s="6" t="s">
        <v>4</v>
      </c>
      <c r="D47" s="6" t="s">
        <v>5</v>
      </c>
      <c r="E47" s="2">
        <f t="shared" si="1"/>
        <v>756436.42499999993</v>
      </c>
      <c r="J47" s="3">
        <f>J49</f>
        <v>1.1624999999999999</v>
      </c>
      <c r="N47" s="11"/>
      <c r="Q47" s="24" t="s">
        <v>22</v>
      </c>
      <c r="R47" s="25">
        <v>100645.16129032259</v>
      </c>
      <c r="S47" s="25">
        <v>144130.45161290321</v>
      </c>
      <c r="T47" s="26">
        <f t="shared" si="2"/>
        <v>1.4320653846153844</v>
      </c>
    </row>
    <row r="48" spans="1:20" x14ac:dyDescent="0.3">
      <c r="A48" s="17">
        <v>2025</v>
      </c>
      <c r="B48" s="6">
        <v>10</v>
      </c>
      <c r="C48" s="6" t="s">
        <v>4</v>
      </c>
      <c r="D48" s="6" t="s">
        <v>6</v>
      </c>
      <c r="E48" s="4"/>
      <c r="J48" s="5"/>
      <c r="N48" s="11"/>
    </row>
    <row r="49" spans="1:14" x14ac:dyDescent="0.3">
      <c r="A49" s="17">
        <v>2025</v>
      </c>
      <c r="B49" s="6">
        <v>10</v>
      </c>
      <c r="C49" s="6" t="s">
        <v>4</v>
      </c>
      <c r="D49" s="6" t="s">
        <v>7</v>
      </c>
      <c r="E49" s="2">
        <f>H49</f>
        <v>708750</v>
      </c>
      <c r="H49" s="29">
        <f>N49/M49</f>
        <v>708750</v>
      </c>
      <c r="J49" s="3">
        <f>H49/E31</f>
        <v>1.1624999999999999</v>
      </c>
      <c r="M49" s="19">
        <f>M43</f>
        <v>28</v>
      </c>
      <c r="N49" s="20">
        <v>19845000</v>
      </c>
    </row>
    <row r="50" spans="1:14" x14ac:dyDescent="0.3">
      <c r="A50" s="17">
        <v>2025</v>
      </c>
      <c r="B50" s="6">
        <v>10</v>
      </c>
      <c r="C50" s="6" t="s">
        <v>9</v>
      </c>
      <c r="D50" s="6" t="s">
        <v>10</v>
      </c>
      <c r="E50" s="4"/>
      <c r="J50" s="5"/>
      <c r="N50" s="11"/>
    </row>
    <row r="51" spans="1:14" x14ac:dyDescent="0.3">
      <c r="A51" s="17">
        <v>2025</v>
      </c>
      <c r="B51" s="6">
        <v>10</v>
      </c>
      <c r="C51" s="6" t="s">
        <v>9</v>
      </c>
      <c r="D51" s="6" t="s">
        <v>8</v>
      </c>
      <c r="E51" s="2">
        <f>E33*J51</f>
        <v>262805.26918310253</v>
      </c>
      <c r="J51" s="3">
        <f>J52</f>
        <v>1.4292915641025639</v>
      </c>
      <c r="N51" s="11"/>
    </row>
    <row r="52" spans="1:14" x14ac:dyDescent="0.3">
      <c r="A52" s="17">
        <v>2025</v>
      </c>
      <c r="B52" s="6">
        <v>10</v>
      </c>
      <c r="C52" s="6" t="s">
        <v>9</v>
      </c>
      <c r="D52" s="6" t="s">
        <v>3</v>
      </c>
      <c r="E52" s="2">
        <f t="shared" ref="E52:E53" si="3">E34*J52</f>
        <v>262805.26918310253</v>
      </c>
      <c r="J52" s="3">
        <f>J53</f>
        <v>1.4292915641025639</v>
      </c>
      <c r="N52" s="11"/>
    </row>
    <row r="53" spans="1:14" x14ac:dyDescent="0.3">
      <c r="A53" s="17">
        <v>2025</v>
      </c>
      <c r="B53" s="6">
        <v>10</v>
      </c>
      <c r="C53" s="6" t="s">
        <v>9</v>
      </c>
      <c r="D53" s="6" t="s">
        <v>5</v>
      </c>
      <c r="E53" s="2">
        <f t="shared" si="3"/>
        <v>166882.65373305127</v>
      </c>
      <c r="I53" s="35">
        <f>SUM(H43:H55)</f>
        <v>977600.56571428571</v>
      </c>
      <c r="J53" s="3">
        <f>J55</f>
        <v>1.4292915641025639</v>
      </c>
      <c r="N53" s="11"/>
    </row>
    <row r="54" spans="1:14" x14ac:dyDescent="0.3">
      <c r="A54" s="17">
        <v>2025</v>
      </c>
      <c r="B54" s="6">
        <v>10</v>
      </c>
      <c r="C54" s="6" t="s">
        <v>9</v>
      </c>
      <c r="D54" s="6" t="s">
        <v>6</v>
      </c>
      <c r="E54" s="4"/>
      <c r="J54" s="5"/>
      <c r="N54" s="11"/>
    </row>
    <row r="55" spans="1:14" ht="17.25" thickBot="1" x14ac:dyDescent="0.35">
      <c r="A55" s="18">
        <v>2025</v>
      </c>
      <c r="B55" s="15">
        <v>10</v>
      </c>
      <c r="C55" s="15" t="s">
        <v>9</v>
      </c>
      <c r="D55" s="15" t="s">
        <v>7</v>
      </c>
      <c r="E55" s="13">
        <f>H55</f>
        <v>143851.28</v>
      </c>
      <c r="F55" s="12"/>
      <c r="G55" s="12"/>
      <c r="H55" s="30">
        <f>N55/M55</f>
        <v>143851.28</v>
      </c>
      <c r="I55" s="34">
        <f>SUM(H43:H55)*M55</f>
        <v>27372815.84</v>
      </c>
      <c r="J55" s="14">
        <f>H55/E37</f>
        <v>1.4292915641025639</v>
      </c>
      <c r="K55" s="12"/>
      <c r="L55" s="12"/>
      <c r="M55" s="21">
        <f>M49</f>
        <v>28</v>
      </c>
      <c r="N55" s="22">
        <v>4027835.8400000003</v>
      </c>
    </row>
    <row r="56" spans="1:14" x14ac:dyDescent="0.3">
      <c r="A56" s="16">
        <v>2025</v>
      </c>
      <c r="B56" s="9">
        <v>11</v>
      </c>
      <c r="C56" s="9" t="s">
        <v>2</v>
      </c>
      <c r="D56" s="9" t="s">
        <v>10</v>
      </c>
      <c r="E56" s="8"/>
      <c r="F56" s="7"/>
      <c r="G56" s="7"/>
      <c r="H56" s="28"/>
      <c r="I56" s="33"/>
      <c r="J56" s="7"/>
      <c r="K56" s="7"/>
      <c r="L56" s="7"/>
      <c r="M56" s="9" t="s">
        <v>14</v>
      </c>
      <c r="N56" s="10" t="s">
        <v>15</v>
      </c>
    </row>
    <row r="57" spans="1:14" x14ac:dyDescent="0.3">
      <c r="A57" s="17">
        <v>2025</v>
      </c>
      <c r="B57" s="6">
        <v>11</v>
      </c>
      <c r="C57" s="6" t="s">
        <v>2</v>
      </c>
      <c r="D57" s="6" t="s">
        <v>8</v>
      </c>
      <c r="E57" s="2">
        <f>E39*J57</f>
        <v>203945.9</v>
      </c>
      <c r="J57" s="3">
        <f>J58</f>
        <v>0.93333333333333335</v>
      </c>
      <c r="N57" s="11"/>
    </row>
    <row r="58" spans="1:14" x14ac:dyDescent="0.3">
      <c r="A58" s="17">
        <v>2025</v>
      </c>
      <c r="B58" s="6">
        <v>11</v>
      </c>
      <c r="C58" s="6" t="s">
        <v>2</v>
      </c>
      <c r="D58" s="6" t="s">
        <v>3</v>
      </c>
      <c r="E58" s="2">
        <f t="shared" ref="E58:E59" si="4">E40*J58</f>
        <v>203945.9</v>
      </c>
      <c r="J58" s="3">
        <f>J59</f>
        <v>0.93333333333333335</v>
      </c>
      <c r="N58" s="11"/>
    </row>
    <row r="59" spans="1:14" x14ac:dyDescent="0.3">
      <c r="A59" s="17">
        <v>2025</v>
      </c>
      <c r="B59" s="6">
        <v>11</v>
      </c>
      <c r="C59" s="6" t="s">
        <v>2</v>
      </c>
      <c r="D59" s="6" t="s">
        <v>5</v>
      </c>
      <c r="E59" s="2">
        <f t="shared" si="4"/>
        <v>122450.00000000001</v>
      </c>
      <c r="J59" s="3">
        <f>J61</f>
        <v>0.93333333333333335</v>
      </c>
      <c r="N59" s="11"/>
    </row>
    <row r="60" spans="1:14" x14ac:dyDescent="0.3">
      <c r="A60" s="17">
        <v>2025</v>
      </c>
      <c r="B60" s="6">
        <v>11</v>
      </c>
      <c r="C60" s="6" t="s">
        <v>2</v>
      </c>
      <c r="D60" s="6" t="s">
        <v>6</v>
      </c>
      <c r="E60" s="4"/>
      <c r="J60" s="5"/>
      <c r="N60" s="11"/>
    </row>
    <row r="61" spans="1:14" x14ac:dyDescent="0.3">
      <c r="A61" s="17">
        <v>2025</v>
      </c>
      <c r="B61" s="6">
        <v>11</v>
      </c>
      <c r="C61" s="6" t="s">
        <v>2</v>
      </c>
      <c r="D61" s="6" t="s">
        <v>7</v>
      </c>
      <c r="E61" s="2">
        <f>H61</f>
        <v>116666</v>
      </c>
      <c r="H61" s="29">
        <f>N61/M61</f>
        <v>116666</v>
      </c>
      <c r="J61" s="3">
        <f>H61/E43</f>
        <v>0.93333333333333335</v>
      </c>
      <c r="M61" s="31">
        <v>30</v>
      </c>
      <c r="N61" s="20">
        <v>3499980</v>
      </c>
    </row>
    <row r="62" spans="1:14" x14ac:dyDescent="0.3">
      <c r="A62" s="17">
        <v>2025</v>
      </c>
      <c r="B62" s="6">
        <v>11</v>
      </c>
      <c r="C62" s="6" t="s">
        <v>4</v>
      </c>
      <c r="D62" s="6" t="s">
        <v>10</v>
      </c>
      <c r="E62" s="2"/>
      <c r="J62" s="5"/>
      <c r="N62" s="11"/>
    </row>
    <row r="63" spans="1:14" x14ac:dyDescent="0.3">
      <c r="A63" s="17">
        <v>2025</v>
      </c>
      <c r="B63" s="6">
        <v>11</v>
      </c>
      <c r="C63" s="6" t="s">
        <v>4</v>
      </c>
      <c r="D63" s="6" t="s">
        <v>8</v>
      </c>
      <c r="E63" s="2">
        <f>E45*J63</f>
        <v>822110.00766666653</v>
      </c>
      <c r="J63" s="3">
        <f>J64</f>
        <v>0.95259259259259255</v>
      </c>
      <c r="N63" s="11"/>
    </row>
    <row r="64" spans="1:14" x14ac:dyDescent="0.3">
      <c r="A64" s="17">
        <v>2025</v>
      </c>
      <c r="B64" s="6">
        <v>11</v>
      </c>
      <c r="C64" s="6" t="s">
        <v>4</v>
      </c>
      <c r="D64" s="6" t="s">
        <v>3</v>
      </c>
      <c r="E64" s="2">
        <f t="shared" ref="E64:E65" si="5">E46*J64</f>
        <v>822110.00766666653</v>
      </c>
      <c r="J64" s="3">
        <f>J65</f>
        <v>0.95259259259259255</v>
      </c>
      <c r="N64" s="11"/>
    </row>
    <row r="65" spans="1:14" x14ac:dyDescent="0.3">
      <c r="A65" s="17">
        <v>2025</v>
      </c>
      <c r="B65" s="6">
        <v>11</v>
      </c>
      <c r="C65" s="6" t="s">
        <v>4</v>
      </c>
      <c r="D65" s="6" t="s">
        <v>5</v>
      </c>
      <c r="E65" s="2">
        <f t="shared" si="5"/>
        <v>720575.73522222217</v>
      </c>
      <c r="J65" s="3">
        <f>J67</f>
        <v>0.95259259259259255</v>
      </c>
      <c r="N65" s="11"/>
    </row>
    <row r="66" spans="1:14" x14ac:dyDescent="0.3">
      <c r="A66" s="17">
        <v>2025</v>
      </c>
      <c r="B66" s="6">
        <v>11</v>
      </c>
      <c r="C66" s="6" t="s">
        <v>4</v>
      </c>
      <c r="D66" s="6" t="s">
        <v>6</v>
      </c>
      <c r="E66" s="4"/>
      <c r="J66" s="5"/>
      <c r="N66" s="11"/>
    </row>
    <row r="67" spans="1:14" x14ac:dyDescent="0.3">
      <c r="A67" s="17">
        <v>2025</v>
      </c>
      <c r="B67" s="6">
        <v>11</v>
      </c>
      <c r="C67" s="6" t="s">
        <v>4</v>
      </c>
      <c r="D67" s="6" t="s">
        <v>7</v>
      </c>
      <c r="E67" s="2">
        <f>H67</f>
        <v>675150</v>
      </c>
      <c r="H67" s="29">
        <f>N67/M67</f>
        <v>675150</v>
      </c>
      <c r="J67" s="3">
        <f>H67/E49</f>
        <v>0.95259259259259255</v>
      </c>
      <c r="M67" s="19">
        <f>M61</f>
        <v>30</v>
      </c>
      <c r="N67" s="20">
        <v>20254500</v>
      </c>
    </row>
    <row r="68" spans="1:14" x14ac:dyDescent="0.3">
      <c r="A68" s="17">
        <v>2025</v>
      </c>
      <c r="B68" s="6">
        <v>11</v>
      </c>
      <c r="C68" s="6" t="s">
        <v>9</v>
      </c>
      <c r="D68" s="6" t="s">
        <v>10</v>
      </c>
      <c r="E68" s="4"/>
      <c r="J68" s="5"/>
      <c r="N68" s="11"/>
    </row>
    <row r="69" spans="1:14" x14ac:dyDescent="0.3">
      <c r="A69" s="17">
        <v>2025</v>
      </c>
      <c r="B69" s="6">
        <v>11</v>
      </c>
      <c r="C69" s="6" t="s">
        <v>9</v>
      </c>
      <c r="D69" s="6" t="s">
        <v>8</v>
      </c>
      <c r="E69" s="2">
        <f>E51*J69</f>
        <v>272092.47081243584</v>
      </c>
      <c r="J69" s="3">
        <f>J70</f>
        <v>1.0353387192661754</v>
      </c>
      <c r="N69" s="11"/>
    </row>
    <row r="70" spans="1:14" x14ac:dyDescent="0.3">
      <c r="A70" s="17">
        <v>2025</v>
      </c>
      <c r="B70" s="6">
        <v>11</v>
      </c>
      <c r="C70" s="6" t="s">
        <v>9</v>
      </c>
      <c r="D70" s="6" t="s">
        <v>3</v>
      </c>
      <c r="E70" s="2">
        <f t="shared" ref="E70:E71" si="6">E52*J70</f>
        <v>272092.47081243584</v>
      </c>
      <c r="J70" s="3">
        <f>J71</f>
        <v>1.0353387192661754</v>
      </c>
      <c r="N70" s="11"/>
    </row>
    <row r="71" spans="1:14" x14ac:dyDescent="0.3">
      <c r="A71" s="17">
        <v>2025</v>
      </c>
      <c r="B71" s="6">
        <v>11</v>
      </c>
      <c r="C71" s="6" t="s">
        <v>9</v>
      </c>
      <c r="D71" s="6" t="s">
        <v>5</v>
      </c>
      <c r="E71" s="2">
        <f t="shared" si="6"/>
        <v>172780.07298371792</v>
      </c>
      <c r="I71" s="35">
        <f>SUM(H61:H73)</f>
        <v>940750.8</v>
      </c>
      <c r="J71" s="3">
        <f>J73</f>
        <v>1.0353387192661754</v>
      </c>
      <c r="N71" s="11"/>
    </row>
    <row r="72" spans="1:14" x14ac:dyDescent="0.3">
      <c r="A72" s="17">
        <v>2025</v>
      </c>
      <c r="B72" s="6">
        <v>11</v>
      </c>
      <c r="C72" s="6" t="s">
        <v>9</v>
      </c>
      <c r="D72" s="6" t="s">
        <v>6</v>
      </c>
      <c r="E72" s="4"/>
      <c r="J72" s="5"/>
      <c r="N72" s="11"/>
    </row>
    <row r="73" spans="1:14" ht="17.25" thickBot="1" x14ac:dyDescent="0.35">
      <c r="A73" s="18">
        <v>2025</v>
      </c>
      <c r="B73" s="15">
        <v>11</v>
      </c>
      <c r="C73" s="15" t="s">
        <v>9</v>
      </c>
      <c r="D73" s="15" t="s">
        <v>7</v>
      </c>
      <c r="E73" s="13">
        <f>H73</f>
        <v>148934.79999999999</v>
      </c>
      <c r="F73" s="12"/>
      <c r="G73" s="12"/>
      <c r="H73" s="30">
        <f>N73/M73</f>
        <v>148934.79999999999</v>
      </c>
      <c r="I73" s="34">
        <f>SUM(H61:H73)*M73</f>
        <v>28222524</v>
      </c>
      <c r="J73" s="14">
        <f>H73/E55</f>
        <v>1.0353387192661754</v>
      </c>
      <c r="K73" s="12"/>
      <c r="L73" s="12"/>
      <c r="M73" s="21">
        <f>M67</f>
        <v>30</v>
      </c>
      <c r="N73" s="22">
        <v>4468044</v>
      </c>
    </row>
    <row r="74" spans="1:14" x14ac:dyDescent="0.3">
      <c r="A74" s="16">
        <v>2025</v>
      </c>
      <c r="B74" s="9">
        <v>12</v>
      </c>
      <c r="C74" s="9" t="s">
        <v>2</v>
      </c>
      <c r="D74" s="9" t="s">
        <v>10</v>
      </c>
      <c r="E74" s="8"/>
      <c r="F74" s="7"/>
      <c r="G74" s="7"/>
      <c r="H74" s="28"/>
      <c r="I74" s="33"/>
      <c r="J74" s="7"/>
      <c r="K74" s="7"/>
      <c r="L74" s="7"/>
      <c r="M74" s="9" t="s">
        <v>14</v>
      </c>
      <c r="N74" s="10" t="s">
        <v>15</v>
      </c>
    </row>
    <row r="75" spans="1:14" x14ac:dyDescent="0.3">
      <c r="A75" s="17">
        <v>2025</v>
      </c>
      <c r="B75" s="6">
        <v>12</v>
      </c>
      <c r="C75" s="6" t="s">
        <v>2</v>
      </c>
      <c r="D75" s="6" t="s">
        <v>8</v>
      </c>
      <c r="E75" s="2">
        <f>E57*J75</f>
        <v>197367</v>
      </c>
      <c r="J75" s="3">
        <f>J76</f>
        <v>0.967741935483871</v>
      </c>
      <c r="N75" s="11"/>
    </row>
    <row r="76" spans="1:14" x14ac:dyDescent="0.3">
      <c r="A76" s="17">
        <v>2025</v>
      </c>
      <c r="B76" s="6">
        <v>12</v>
      </c>
      <c r="C76" s="6" t="s">
        <v>2</v>
      </c>
      <c r="D76" s="6" t="s">
        <v>3</v>
      </c>
      <c r="E76" s="2">
        <f t="shared" ref="E76:E77" si="7">E58*J76</f>
        <v>197367</v>
      </c>
      <c r="J76" s="3">
        <f>J77</f>
        <v>0.967741935483871</v>
      </c>
      <c r="N76" s="11"/>
    </row>
    <row r="77" spans="1:14" x14ac:dyDescent="0.3">
      <c r="A77" s="17">
        <v>2025</v>
      </c>
      <c r="B77" s="6">
        <v>12</v>
      </c>
      <c r="C77" s="6" t="s">
        <v>2</v>
      </c>
      <c r="D77" s="6" t="s">
        <v>5</v>
      </c>
      <c r="E77" s="2">
        <f t="shared" si="7"/>
        <v>118500.00000000001</v>
      </c>
      <c r="J77" s="3">
        <f>J79</f>
        <v>0.967741935483871</v>
      </c>
      <c r="N77" s="11"/>
    </row>
    <row r="78" spans="1:14" x14ac:dyDescent="0.3">
      <c r="A78" s="17">
        <v>2025</v>
      </c>
      <c r="B78" s="6">
        <v>12</v>
      </c>
      <c r="C78" s="6" t="s">
        <v>2</v>
      </c>
      <c r="D78" s="6" t="s">
        <v>6</v>
      </c>
      <c r="E78" s="4"/>
      <c r="J78" s="5"/>
      <c r="N78" s="11"/>
    </row>
    <row r="79" spans="1:14" x14ac:dyDescent="0.3">
      <c r="A79" s="17">
        <v>2025</v>
      </c>
      <c r="B79" s="6">
        <v>12</v>
      </c>
      <c r="C79" s="6" t="s">
        <v>2</v>
      </c>
      <c r="D79" s="6" t="s">
        <v>7</v>
      </c>
      <c r="E79" s="2">
        <f>H79</f>
        <v>112902.58064516129</v>
      </c>
      <c r="H79" s="29">
        <f>N79/M79</f>
        <v>112902.58064516129</v>
      </c>
      <c r="J79" s="3">
        <f>H79/E61</f>
        <v>0.967741935483871</v>
      </c>
      <c r="M79" s="31">
        <v>31</v>
      </c>
      <c r="N79" s="20">
        <v>3499980</v>
      </c>
    </row>
    <row r="80" spans="1:14" x14ac:dyDescent="0.3">
      <c r="A80" s="17">
        <v>2025</v>
      </c>
      <c r="B80" s="6">
        <v>12</v>
      </c>
      <c r="C80" s="6" t="s">
        <v>4</v>
      </c>
      <c r="D80" s="6" t="s">
        <v>10</v>
      </c>
      <c r="E80" s="2"/>
      <c r="J80" s="5"/>
      <c r="N80" s="11"/>
    </row>
    <row r="81" spans="1:14" x14ac:dyDescent="0.3">
      <c r="A81" s="17">
        <v>2025</v>
      </c>
      <c r="B81" s="6">
        <v>12</v>
      </c>
      <c r="C81" s="6" t="s">
        <v>4</v>
      </c>
      <c r="D81" s="6" t="s">
        <v>8</v>
      </c>
      <c r="E81" s="2">
        <f>E63*J81</f>
        <v>811675.35999999987</v>
      </c>
      <c r="J81" s="3">
        <f>J82</f>
        <v>0.98730748005819491</v>
      </c>
      <c r="N81" s="11"/>
    </row>
    <row r="82" spans="1:14" x14ac:dyDescent="0.3">
      <c r="A82" s="17">
        <v>2025</v>
      </c>
      <c r="B82" s="6">
        <v>12</v>
      </c>
      <c r="C82" s="6" t="s">
        <v>4</v>
      </c>
      <c r="D82" s="6" t="s">
        <v>3</v>
      </c>
      <c r="E82" s="2">
        <f t="shared" ref="E82:E83" si="8">E64*J82</f>
        <v>811675.35999999987</v>
      </c>
      <c r="J82" s="3">
        <f>J83</f>
        <v>0.98730748005819491</v>
      </c>
      <c r="N82" s="11"/>
    </row>
    <row r="83" spans="1:14" x14ac:dyDescent="0.3">
      <c r="A83" s="17">
        <v>2025</v>
      </c>
      <c r="B83" s="6">
        <v>12</v>
      </c>
      <c r="C83" s="6" t="s">
        <v>4</v>
      </c>
      <c r="D83" s="6" t="s">
        <v>5</v>
      </c>
      <c r="E83" s="2">
        <f t="shared" si="8"/>
        <v>711429.81333333324</v>
      </c>
      <c r="J83" s="3">
        <f>J85</f>
        <v>0.98730748005819491</v>
      </c>
      <c r="N83" s="11"/>
    </row>
    <row r="84" spans="1:14" x14ac:dyDescent="0.3">
      <c r="A84" s="17">
        <v>2025</v>
      </c>
      <c r="B84" s="6">
        <v>12</v>
      </c>
      <c r="C84" s="6" t="s">
        <v>4</v>
      </c>
      <c r="D84" s="6" t="s">
        <v>6</v>
      </c>
      <c r="E84" s="4"/>
      <c r="J84" s="5"/>
      <c r="N84" s="11"/>
    </row>
    <row r="85" spans="1:14" x14ac:dyDescent="0.3">
      <c r="A85" s="17">
        <v>2025</v>
      </c>
      <c r="B85" s="6">
        <v>12</v>
      </c>
      <c r="C85" s="6" t="s">
        <v>4</v>
      </c>
      <c r="D85" s="6" t="s">
        <v>7</v>
      </c>
      <c r="E85" s="2">
        <f>H85</f>
        <v>666580.6451612903</v>
      </c>
      <c r="H85" s="29">
        <f>N85/M85</f>
        <v>666580.6451612903</v>
      </c>
      <c r="J85" s="3">
        <f>H85/E67</f>
        <v>0.98730748005819491</v>
      </c>
      <c r="M85" s="19">
        <f>M79</f>
        <v>31</v>
      </c>
      <c r="N85" s="20">
        <v>20664000</v>
      </c>
    </row>
    <row r="86" spans="1:14" x14ac:dyDescent="0.3">
      <c r="A86" s="17">
        <v>2025</v>
      </c>
      <c r="B86" s="6">
        <v>12</v>
      </c>
      <c r="C86" s="6" t="s">
        <v>9</v>
      </c>
      <c r="D86" s="6" t="s">
        <v>10</v>
      </c>
      <c r="E86" s="4"/>
      <c r="J86" s="5"/>
      <c r="N86" s="11"/>
    </row>
    <row r="87" spans="1:14" x14ac:dyDescent="0.3">
      <c r="A87" s="17">
        <v>2025</v>
      </c>
      <c r="B87" s="6">
        <v>12</v>
      </c>
      <c r="C87" s="6" t="s">
        <v>9</v>
      </c>
      <c r="D87" s="6" t="s">
        <v>8</v>
      </c>
      <c r="E87" s="2">
        <f>E69*J87</f>
        <v>263315.29433461535</v>
      </c>
      <c r="J87" s="3">
        <f>J88</f>
        <v>0.967741935483871</v>
      </c>
      <c r="N87" s="11"/>
    </row>
    <row r="88" spans="1:14" x14ac:dyDescent="0.3">
      <c r="A88" s="17">
        <v>2025</v>
      </c>
      <c r="B88" s="6">
        <v>12</v>
      </c>
      <c r="C88" s="6" t="s">
        <v>9</v>
      </c>
      <c r="D88" s="6" t="s">
        <v>3</v>
      </c>
      <c r="E88" s="2">
        <f t="shared" ref="E88:E89" si="9">E70*J88</f>
        <v>263315.29433461535</v>
      </c>
      <c r="J88" s="3">
        <f>J89</f>
        <v>0.967741935483871</v>
      </c>
      <c r="N88" s="11"/>
    </row>
    <row r="89" spans="1:14" x14ac:dyDescent="0.3">
      <c r="A89" s="17">
        <v>2025</v>
      </c>
      <c r="B89" s="6">
        <v>12</v>
      </c>
      <c r="C89" s="6" t="s">
        <v>9</v>
      </c>
      <c r="D89" s="6" t="s">
        <v>5</v>
      </c>
      <c r="E89" s="2">
        <f t="shared" si="9"/>
        <v>167206.52224230766</v>
      </c>
      <c r="I89" s="35">
        <f>SUM(H79:H91)</f>
        <v>923613.67741935491</v>
      </c>
      <c r="J89" s="3">
        <f>J91</f>
        <v>0.967741935483871</v>
      </c>
      <c r="N89" s="11"/>
    </row>
    <row r="90" spans="1:14" x14ac:dyDescent="0.3">
      <c r="A90" s="17">
        <v>2025</v>
      </c>
      <c r="B90" s="6">
        <v>12</v>
      </c>
      <c r="C90" s="6" t="s">
        <v>9</v>
      </c>
      <c r="D90" s="6" t="s">
        <v>6</v>
      </c>
      <c r="E90" s="4"/>
      <c r="J90" s="5"/>
      <c r="N90" s="11"/>
    </row>
    <row r="91" spans="1:14" ht="17.25" thickBot="1" x14ac:dyDescent="0.35">
      <c r="A91" s="18">
        <v>2025</v>
      </c>
      <c r="B91" s="15">
        <v>12</v>
      </c>
      <c r="C91" s="15" t="s">
        <v>9</v>
      </c>
      <c r="D91" s="15" t="s">
        <v>7</v>
      </c>
      <c r="E91" s="13">
        <f>H91</f>
        <v>144130.45161290321</v>
      </c>
      <c r="F91" s="12"/>
      <c r="G91" s="12"/>
      <c r="H91" s="30">
        <f>N91/M91</f>
        <v>144130.45161290321</v>
      </c>
      <c r="I91" s="34">
        <f>SUM(H79:H91)*M91</f>
        <v>28632024.000000004</v>
      </c>
      <c r="J91" s="14">
        <f>H91/E73</f>
        <v>0.967741935483871</v>
      </c>
      <c r="K91" s="12"/>
      <c r="L91" s="12"/>
      <c r="M91" s="21">
        <f>M85</f>
        <v>31</v>
      </c>
      <c r="N91" s="22">
        <v>4468044</v>
      </c>
    </row>
  </sheetData>
  <autoFilter ref="C1:E27" xr:uid="{00000000-0001-0000-0000-000000000000}">
    <sortState xmlns:xlrd2="http://schemas.microsoft.com/office/spreadsheetml/2017/richdata2" ref="C2:E27">
      <sortCondition ref="C1:C27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2025년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이성준</dc:creator>
  <cp:lastModifiedBy>성준 이</cp:lastModifiedBy>
  <dcterms:created xsi:type="dcterms:W3CDTF">2015-06-05T18:19:34Z</dcterms:created>
  <dcterms:modified xsi:type="dcterms:W3CDTF">2025-10-23T10:08:25Z</dcterms:modified>
</cp:coreProperties>
</file>